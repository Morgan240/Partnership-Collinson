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linson365.sharepoint.com/sites/TechAmericas/Shared Documents/General/0 - Projects &amp; Initiatives/0 - LMS/0 - Waitlist/"/>
    </mc:Choice>
  </mc:AlternateContent>
  <xr:revisionPtr revIDLastSave="0" documentId="8_{A30C75E5-7791-4C03-8EA8-F9C7EC6CE85B}" xr6:coauthVersionLast="47" xr6:coauthVersionMax="47" xr10:uidLastSave="{00000000-0000-0000-0000-000000000000}"/>
  <bookViews>
    <workbookView minimized="1" xWindow="1905" yWindow="1905" windowWidth="21600" windowHeight="11295" xr2:uid="{00000000-000D-0000-FFFF-FFFF00000000}"/>
  </bookViews>
  <sheets>
    <sheet name="Overview" sheetId="12" r:id="rId1"/>
    <sheet name="Exemples - Real use cases" sheetId="21" r:id="rId2"/>
    <sheet name="Simulation v.2" sheetId="27" r:id="rId3"/>
    <sheet name="Simulation v.3" sheetId="26" r:id="rId4"/>
    <sheet name="Simulation" sheetId="25" r:id="rId5"/>
    <sheet name="Weights" sheetId="18" r:id="rId6"/>
    <sheet name="Dimensions v.2" sheetId="13" r:id="rId7"/>
    <sheet name="Decided varibles" sheetId="14" r:id="rId8"/>
    <sheet name="Normalization" sheetId="15" r:id="rId9"/>
    <sheet name="Data Flow v.2" sheetId="16" r:id="rId10"/>
    <sheet name="Capacity" sheetId="9" r:id="rId11"/>
    <sheet name="Urgency" sheetId="8" r:id="rId12"/>
    <sheet name="Fairness" sheetId="11" r:id="rId13"/>
    <sheet name="Revenue" sheetId="17" r:id="rId14"/>
    <sheet name="Hard Overrides" sheetId="19" r:id="rId15"/>
    <sheet name="Data Degradation" sheetId="20" r:id="rId16"/>
    <sheet name="Phases" sheetId="3" state="hidden" r:id="rId17"/>
    <sheet name="Dimensions" sheetId="2" state="hidden" r:id="rId18"/>
    <sheet name="Data Flow v.1" sheetId="7" state="hidden" r:id="rId19"/>
    <sheet name="Membership ID" sheetId="4" state="hidden" r:id="rId20"/>
    <sheet name="Modelling" sheetId="5" state="hidden" r:id="rId21"/>
    <sheet name="Architecture" sheetId="6" state="hidden" r:id="rId22"/>
    <sheet name="All Possible Variables" sheetId="1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7" i="27" l="1"/>
  <c r="BC7" i="27"/>
  <c r="BB7" i="27"/>
  <c r="BA7" i="27"/>
  <c r="AZ7" i="27"/>
  <c r="BD6" i="27"/>
  <c r="BC6" i="27"/>
  <c r="BB6" i="27"/>
  <c r="BA6" i="27"/>
  <c r="AZ6" i="27"/>
  <c r="BD5" i="27"/>
  <c r="BC5" i="27"/>
  <c r="BB5" i="27"/>
  <c r="BA5" i="27"/>
  <c r="AZ5" i="27"/>
  <c r="BD4" i="27"/>
  <c r="BC4" i="27"/>
  <c r="BB4" i="27"/>
  <c r="BA4" i="27"/>
  <c r="AZ4" i="27"/>
  <c r="BD3" i="27"/>
  <c r="BC3" i="27"/>
  <c r="BB3" i="27"/>
  <c r="BA3" i="27"/>
  <c r="AZ3" i="27"/>
  <c r="BD2" i="27"/>
  <c r="BC2" i="27"/>
  <c r="BB2" i="27"/>
  <c r="BA2" i="27"/>
  <c r="AZ2" i="27"/>
  <c r="X17" i="27"/>
  <c r="W17" i="27"/>
  <c r="V17" i="27"/>
  <c r="U17" i="27"/>
  <c r="T17" i="27"/>
  <c r="X16" i="27"/>
  <c r="W16" i="27"/>
  <c r="V16" i="27"/>
  <c r="U16" i="27"/>
  <c r="T16" i="27"/>
  <c r="X15" i="27"/>
  <c r="W15" i="27"/>
  <c r="V15" i="27"/>
  <c r="U15" i="27"/>
  <c r="T15" i="27"/>
  <c r="X14" i="27"/>
  <c r="W14" i="27"/>
  <c r="V14" i="27"/>
  <c r="U14" i="27"/>
  <c r="T14" i="27"/>
  <c r="X13" i="27"/>
  <c r="W13" i="27"/>
  <c r="V13" i="27"/>
  <c r="U13" i="27"/>
  <c r="T13" i="27"/>
  <c r="X12" i="27"/>
  <c r="W12" i="27"/>
  <c r="V12" i="27"/>
  <c r="U12" i="27"/>
  <c r="T12" i="27"/>
  <c r="X8" i="27"/>
  <c r="X7" i="27"/>
  <c r="X6" i="27"/>
  <c r="X5" i="27"/>
  <c r="X4" i="27"/>
  <c r="X3" i="27"/>
  <c r="W8" i="27"/>
  <c r="W7" i="27"/>
  <c r="W6" i="27"/>
  <c r="W5" i="27"/>
  <c r="W4" i="27"/>
  <c r="W3" i="27"/>
  <c r="V8" i="27"/>
  <c r="V7" i="27"/>
  <c r="V6" i="27"/>
  <c r="V5" i="27"/>
  <c r="V4" i="27"/>
  <c r="V3" i="27"/>
  <c r="U8" i="27"/>
  <c r="U7" i="27"/>
  <c r="U6" i="27"/>
  <c r="U5" i="27"/>
  <c r="U4" i="27"/>
  <c r="U3" i="27"/>
  <c r="T8" i="27"/>
  <c r="T7" i="27"/>
  <c r="T6" i="27"/>
  <c r="T5" i="27"/>
  <c r="T4" i="27"/>
  <c r="T3" i="27"/>
  <c r="R8" i="27"/>
  <c r="Q8" i="27"/>
  <c r="R7" i="27"/>
  <c r="Q7" i="27"/>
  <c r="R6" i="27"/>
  <c r="Q6" i="27"/>
  <c r="R5" i="27"/>
  <c r="Q5" i="27"/>
  <c r="R4" i="27"/>
  <c r="Q4" i="27"/>
  <c r="R3" i="27"/>
  <c r="Q3" i="27"/>
  <c r="P9" i="27"/>
  <c r="P6" i="27"/>
  <c r="P5" i="27"/>
  <c r="P4" i="27"/>
  <c r="L8" i="27"/>
  <c r="K8" i="27"/>
  <c r="J8" i="27"/>
  <c r="M8" i="27" s="1"/>
  <c r="I8" i="27"/>
  <c r="L7" i="27"/>
  <c r="K7" i="27"/>
  <c r="J7" i="27"/>
  <c r="M7" i="27" s="1"/>
  <c r="I7" i="27"/>
  <c r="L6" i="27"/>
  <c r="K6" i="27"/>
  <c r="J6" i="27"/>
  <c r="M6" i="27" s="1"/>
  <c r="I6" i="27"/>
  <c r="L5" i="27"/>
  <c r="K5" i="27"/>
  <c r="J5" i="27"/>
  <c r="M5" i="27" s="1"/>
  <c r="I5" i="27"/>
  <c r="L4" i="27"/>
  <c r="K4" i="27"/>
  <c r="J4" i="27"/>
  <c r="M4" i="27" s="1"/>
  <c r="I4" i="27"/>
  <c r="L3" i="27"/>
  <c r="K3" i="27"/>
  <c r="J3" i="27"/>
  <c r="M3" i="27" s="1"/>
  <c r="I3" i="27"/>
  <c r="BD7" i="26"/>
  <c r="BC7" i="26"/>
  <c r="BB7" i="26"/>
  <c r="BA7" i="26"/>
  <c r="AZ7" i="26"/>
  <c r="BD6" i="26"/>
  <c r="BC6" i="26"/>
  <c r="BB6" i="26"/>
  <c r="BA6" i="26"/>
  <c r="AZ6" i="26"/>
  <c r="BD5" i="26"/>
  <c r="BC5" i="26"/>
  <c r="BB5" i="26"/>
  <c r="BA5" i="26"/>
  <c r="AZ5" i="26"/>
  <c r="BD4" i="26"/>
  <c r="BC4" i="26"/>
  <c r="BB4" i="26"/>
  <c r="BA4" i="26"/>
  <c r="AZ4" i="26"/>
  <c r="BD3" i="26"/>
  <c r="BC3" i="26"/>
  <c r="BB3" i="26"/>
  <c r="BA3" i="26"/>
  <c r="AZ3" i="26"/>
  <c r="BD2" i="26"/>
  <c r="BC2" i="26"/>
  <c r="BB2" i="26"/>
  <c r="BA2" i="26"/>
  <c r="AZ2" i="26"/>
  <c r="T12" i="26"/>
  <c r="U12" i="26"/>
  <c r="V12" i="26"/>
  <c r="W12" i="26"/>
  <c r="X12" i="26"/>
  <c r="T13" i="26"/>
  <c r="U13" i="26"/>
  <c r="V13" i="26"/>
  <c r="W13" i="26"/>
  <c r="X13" i="26"/>
  <c r="T14" i="26"/>
  <c r="U14" i="26"/>
  <c r="V14" i="26"/>
  <c r="W14" i="26"/>
  <c r="X14" i="26"/>
  <c r="T15" i="26"/>
  <c r="U15" i="26"/>
  <c r="V15" i="26"/>
  <c r="W15" i="26"/>
  <c r="X15" i="26"/>
  <c r="T16" i="26"/>
  <c r="U16" i="26"/>
  <c r="V16" i="26"/>
  <c r="W16" i="26"/>
  <c r="X16" i="26"/>
  <c r="T17" i="26"/>
  <c r="U17" i="26"/>
  <c r="V17" i="26"/>
  <c r="W17" i="26"/>
  <c r="X17" i="26"/>
  <c r="T3" i="26"/>
  <c r="U3" i="26"/>
  <c r="V3" i="26"/>
  <c r="W3" i="26"/>
  <c r="X3" i="26"/>
  <c r="T4" i="26"/>
  <c r="U4" i="26"/>
  <c r="V4" i="26"/>
  <c r="W4" i="26"/>
  <c r="X4" i="26"/>
  <c r="T5" i="26"/>
  <c r="U5" i="26"/>
  <c r="V5" i="26"/>
  <c r="W5" i="26"/>
  <c r="X5" i="26"/>
  <c r="T6" i="26"/>
  <c r="U6" i="26"/>
  <c r="V6" i="26"/>
  <c r="W6" i="26"/>
  <c r="X6" i="26"/>
  <c r="T7" i="26"/>
  <c r="U7" i="26"/>
  <c r="V7" i="26"/>
  <c r="W7" i="26"/>
  <c r="X7" i="26"/>
  <c r="T8" i="26"/>
  <c r="U8" i="26"/>
  <c r="V8" i="26"/>
  <c r="W8" i="26"/>
  <c r="X8" i="26"/>
  <c r="Q3" i="26"/>
  <c r="Q4" i="26"/>
  <c r="Q5" i="26"/>
  <c r="Q6" i="26"/>
  <c r="Q7" i="26"/>
  <c r="Q8" i="26"/>
  <c r="R7" i="26" s="1"/>
  <c r="R8" i="26"/>
  <c r="I3" i="26"/>
  <c r="J3" i="26"/>
  <c r="K3" i="26"/>
  <c r="L3" i="26"/>
  <c r="M3" i="26"/>
  <c r="N3" i="26"/>
  <c r="I4" i="26"/>
  <c r="J4" i="26"/>
  <c r="K4" i="26"/>
  <c r="L4" i="26"/>
  <c r="M4" i="26"/>
  <c r="N4" i="26"/>
  <c r="I5" i="26"/>
  <c r="J5" i="26"/>
  <c r="K5" i="26"/>
  <c r="L5" i="26"/>
  <c r="M5" i="26"/>
  <c r="N5" i="26"/>
  <c r="I6" i="26"/>
  <c r="J6" i="26"/>
  <c r="K6" i="26"/>
  <c r="L6" i="26"/>
  <c r="M6" i="26"/>
  <c r="N6" i="26"/>
  <c r="I7" i="26"/>
  <c r="J7" i="26"/>
  <c r="K7" i="26"/>
  <c r="L7" i="26"/>
  <c r="M7" i="26"/>
  <c r="N7" i="26"/>
  <c r="I8" i="26"/>
  <c r="J8" i="26"/>
  <c r="K8" i="26"/>
  <c r="L8" i="26"/>
  <c r="M8" i="26"/>
  <c r="N8" i="26"/>
  <c r="P9" i="26"/>
  <c r="P7" i="26"/>
  <c r="P6" i="26"/>
  <c r="P5" i="26"/>
  <c r="P4" i="26"/>
  <c r="M6" i="25"/>
  <c r="M3" i="25"/>
  <c r="B27" i="25"/>
  <c r="B21" i="25"/>
  <c r="B25" i="8"/>
  <c r="B23" i="8"/>
  <c r="J4" i="7"/>
  <c r="J5" i="7"/>
  <c r="J3" i="7"/>
  <c r="R6" i="26" l="1"/>
  <c r="R5" i="26"/>
  <c r="R4" i="26"/>
  <c r="R3" i="26"/>
  <c r="M7" i="25"/>
  <c r="M4" i="25"/>
  <c r="M5" i="25"/>
  <c r="M8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tc={ECABD389-21BA-4382-B902-05AEC752E105}</author>
    <author>tc={1520C6AF-7B91-4045-9499-6DB1460AE21E}</author>
  </authors>
  <commentList>
    <comment ref="B11" authorId="0" shapeId="0" xr:uid="{ECABD389-21BA-4382-B902-05AEC752E105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we make 20 USD the minimum? the 0</t>
      </text>
    </comment>
    <comment ref="B12" authorId="1" shapeId="0" xr:uid="{1520C6AF-7B91-4045-9499-6DB1460AE2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Maybe for revenue should start relative
normalization
</t>
      </text>
    </comment>
  </commentList>
</comments>
</file>

<file path=xl/sharedStrings.xml><?xml version="1.0" encoding="utf-8"?>
<sst xmlns="http://schemas.openxmlformats.org/spreadsheetml/2006/main" count="1835" uniqueCount="1274">
  <si>
    <t>PriModel Scoring Engine</t>
  </si>
  <si>
    <t>Parametrized Lookup Tables and Scoring Specification</t>
  </si>
  <si>
    <t>This workbook contains the complete scoring specification for PriModel, the recommendation engine that helps lounge staff decide which waitlisted group to call next.</t>
  </si>
  <si>
    <t>Each raw operational variable is converted into a normalized score (0-100) via parametrized lookup tables. Scores are stable and predictable: the same input always produces the same score, regardless of queue composition.</t>
  </si>
  <si>
    <t>Tab</t>
  </si>
  <si>
    <t>Content</t>
  </si>
  <si>
    <t>Dimensions</t>
  </si>
  <si>
    <t>The four scoring dimensions, how they combine, and key design principles</t>
  </si>
  <si>
    <t>Variables</t>
  </si>
  <si>
    <t>All 16 input variables with type (Raw/Derived), source, availability, and which lookup table each feeds</t>
  </si>
  <si>
    <t>Normalization</t>
  </si>
  <si>
    <t>Why parametrized lookup tables (not relative normalization), with comparison and concrete example</t>
  </si>
  <si>
    <t>Data Flow</t>
  </si>
  <si>
    <t>End-to-end flow from front-end capture to suggestion cards in 5 stages, with full Group A walkthrough and 3-group comparison</t>
  </si>
  <si>
    <t>LT-Capacity</t>
  </si>
  <si>
    <t>Party size and estimated stay lookup tables, composite formula, occupancy pressure modifier</t>
  </si>
  <si>
    <t>LT-Fairness</t>
  </si>
  <si>
    <t>Wait time and consecutive skips lookup tables, composite formula</t>
  </si>
  <si>
    <t>LT-Urgency</t>
  </si>
  <si>
    <t>Time to departure lookup table (no taper), flight status modifier</t>
  </si>
  <si>
    <t>LT-Revenue</t>
  </si>
  <si>
    <t>Value per person lookup table, revenue waterfall, and missing data behavior</t>
  </si>
  <si>
    <t>Weights</t>
  </si>
  <si>
    <t>4 optimization modes with weight configurations</t>
  </si>
  <si>
    <t>Hard Overrides</t>
  </si>
  <si>
    <t>Binary rules that bypass scoring (Max Wait, Starvation Guard, Flight Departed, Program Cap)</t>
  </si>
  <si>
    <t>Data Degradation</t>
  </si>
  <si>
    <t>What happens when variables are missing, impact by dimension, Revenue missing worked example</t>
  </si>
  <si>
    <t>Worked Example</t>
  </si>
  <si>
    <t>3 full scoring walkthroughs: Scenario 1 (Capacity wins), Scenario 2 (Fairness wins), Scenario 4 (Revenue Focus)</t>
  </si>
  <si>
    <t>WORKED EXAMPLE - Scenario 1: Capacity Efficiency Beats Raw Revenue</t>
  </si>
  <si>
    <t>3:20 PM. 3 seats available. Balanced mode. Full scoring walkthrough.</t>
  </si>
  <si>
    <t>Step 1: Raw Data (Front-End)</t>
  </si>
  <si>
    <t>Group</t>
  </si>
  <si>
    <t>Program</t>
  </si>
  <si>
    <t>Party Size</t>
  </si>
  <si>
    <t>Wait (min)</t>
  </si>
  <si>
    <t>Flight</t>
  </si>
  <si>
    <t>TTD (min)</t>
  </si>
  <si>
    <t>Est. Stay (min)</t>
  </si>
  <si>
    <t>Value/pp</t>
  </si>
  <si>
    <t>A</t>
  </si>
  <si>
    <t>Priority Pass</t>
  </si>
  <si>
    <t>4:10 PM</t>
  </si>
  <si>
    <t>$27</t>
  </si>
  <si>
    <t>B</t>
  </si>
  <si>
    <t>Amex Platinum</t>
  </si>
  <si>
    <t>5:20 PM</t>
  </si>
  <si>
    <t>$25</t>
  </si>
  <si>
    <t>C</t>
  </si>
  <si>
    <t>LoungeKey</t>
  </si>
  <si>
    <t>6:20 PM</t>
  </si>
  <si>
    <t>$24</t>
  </si>
  <si>
    <t>Step 2: Lookup Table Normalization (Back-End)</t>
  </si>
  <si>
    <t>PartySize Score</t>
  </si>
  <si>
    <t>EstStay Score</t>
  </si>
  <si>
    <t>Capacity Score</t>
  </si>
  <si>
    <t>Wait Score</t>
  </si>
  <si>
    <t>Skips Score</t>
  </si>
  <si>
    <t>Fairness Score</t>
  </si>
  <si>
    <t>TTD Score (Urgency)</t>
  </si>
  <si>
    <t>Value Score (Revenue)</t>
  </si>
  <si>
    <t>(100*0.4+100*0.6)=100</t>
  </si>
  <si>
    <t>(30*0.6+0*0.4)=18</t>
  </si>
  <si>
    <t>(85*0.4+55*0.6)=67</t>
  </si>
  <si>
    <t>(20*0.6+0*0.4)=12</t>
  </si>
  <si>
    <t>(70*0.4+15*0.6)=37</t>
  </si>
  <si>
    <t>(10*0.6+0*0.4)=6</t>
  </si>
  <si>
    <t>Step 3: Weighted Composite Score (Balanced Mode: R=0.25, C=0.25, F=0.30, U=0.20)</t>
  </si>
  <si>
    <t>Revenue (x0.25)</t>
  </si>
  <si>
    <t>Capacity (x0.25)</t>
  </si>
  <si>
    <t>Fairness (x0.30)</t>
  </si>
  <si>
    <t>Urgency (x0.20)</t>
  </si>
  <si>
    <t>PriModelScore</t>
  </si>
  <si>
    <t>Rank</t>
  </si>
  <si>
    <t>80*0.25=20.0</t>
  </si>
  <si>
    <t>100*0.25=25.0</t>
  </si>
  <si>
    <t>18*0.30=5.4</t>
  </si>
  <si>
    <t>80*0.20=16.0</t>
  </si>
  <si>
    <t>#1</t>
  </si>
  <si>
    <t>70*0.25=17.5</t>
  </si>
  <si>
    <t>67*0.25=16.8</t>
  </si>
  <si>
    <t>12*0.30=3.6</t>
  </si>
  <si>
    <t>45*0.20=9.0</t>
  </si>
  <si>
    <t>#2</t>
  </si>
  <si>
    <t>60*0.25=15.0</t>
  </si>
  <si>
    <t>37*0.25=9.3</t>
  </si>
  <si>
    <t>6*0.30=1.8</t>
  </si>
  <si>
    <t>0*0.20=0.0</t>
  </si>
  <si>
    <t>#3</t>
  </si>
  <si>
    <t>Result: Group A scores 66.4, Group B 46.9, Group C 26.1.</t>
  </si>
  <si>
    <t>Group A wins by 19.5 points over B and 40.3 points over C. Decisive, not marginal.</t>
  </si>
  <si>
    <t>Capacity (25.0 vs 9.3) and Urgency (16.0 vs 0.0) are the dominant differentiators.</t>
  </si>
  <si>
    <t>Revenue favors C ($72 total) over A ($27 total), but only contributes 5 points of difference. Cannot overcome a 56-point capacity+urgency gap.</t>
  </si>
  <si>
    <t>WORKED EXAMPLE - Scenario 2: Fairness Protects Long-Waiting Passengers</t>
  </si>
  <si>
    <t>4 seats available. Balanced mode. Fairness dominates.</t>
  </si>
  <si>
    <t>Step 1: Raw Data</t>
  </si>
  <si>
    <t>Party</t>
  </si>
  <si>
    <t>Est. Stay</t>
  </si>
  <si>
    <t>Skips</t>
  </si>
  <si>
    <t>Step 2: Lookup Table Normalization</t>
  </si>
  <si>
    <t>Capacity</t>
  </si>
  <si>
    <t>Fairness</t>
  </si>
  <si>
    <t>Urgency</t>
  </si>
  <si>
    <t>Revenue</t>
  </si>
  <si>
    <t>(100x0.4)+(15x0.6) = 49</t>
  </si>
  <si>
    <t>(80x0.6)+(65x0.4) = 74</t>
  </si>
  <si>
    <t>0 (180+ min)</t>
  </si>
  <si>
    <t>60 ($24)</t>
  </si>
  <si>
    <t>(85x0.4)+(85x0.6) = 85</t>
  </si>
  <si>
    <t>(70x0.6)+(55x0.4) = 64</t>
  </si>
  <si>
    <t>80 (46-60 min)</t>
  </si>
  <si>
    <t>80 ($27)</t>
  </si>
  <si>
    <t>(55x0.4)+(55x0.6) = 55</t>
  </si>
  <si>
    <t>(10x0.6)+(0x0.4) = 6</t>
  </si>
  <si>
    <t>45 (91-120 min)</t>
  </si>
  <si>
    <t>70 ($25)</t>
  </si>
  <si>
    <t>Step 3: Weighted Composite (Balanced: R=0.25, C=0.25, F=0.30, U=0.20)</t>
  </si>
  <si>
    <t>80x0.25=20.0</t>
  </si>
  <si>
    <t>85x0.25=21.3</t>
  </si>
  <si>
    <t>64x0.30=19.2</t>
  </si>
  <si>
    <t>80x0.20=16.0</t>
  </si>
  <si>
    <t>60x0.25=15.0</t>
  </si>
  <si>
    <t>49x0.25=12.3</t>
  </si>
  <si>
    <t>74x0.30=22.2</t>
  </si>
  <si>
    <t>0x0.20=0.0</t>
  </si>
  <si>
    <t>70x0.25=17.5</t>
  </si>
  <si>
    <t>55x0.25=13.8</t>
  </si>
  <si>
    <t>6x0.30=1.8</t>
  </si>
  <si>
    <t>45x0.20=9.0</t>
  </si>
  <si>
    <t>Group A wins: Fairness (19.2) + Urgency (16.0) overcome B's revenue advantage. Group B at $100 total ranks #3 because 5 min wait = Fairness score of 6.</t>
  </si>
  <si>
    <t>WORKED EXAMPLE - Scenario 4: Revenue Optimization (Revenue Focus Mode)</t>
  </si>
  <si>
    <t>5 seats available. Revenue Focus mode active. All 3 groups have same TTD (2h).</t>
  </si>
  <si>
    <t>Total Value</t>
  </si>
  <si>
    <t>$54</t>
  </si>
  <si>
    <t>Day Pass</t>
  </si>
  <si>
    <t>$35</t>
  </si>
  <si>
    <t>$175</t>
  </si>
  <si>
    <t>(100x0.4)+(55x0.6) = 73</t>
  </si>
  <si>
    <t>(40x0.6)+(0x0.4) = 24</t>
  </si>
  <si>
    <t>(85x0.4)+(55x0.6) = 67</t>
  </si>
  <si>
    <t>(40x0.4)+(55x0.6) = 49</t>
  </si>
  <si>
    <t>(30x0.6)+(0x0.4) = 18</t>
  </si>
  <si>
    <t>100 ($35)</t>
  </si>
  <si>
    <t>Step 3: Weighted Composite (Revenue Focus: R=0.45, C=0.25, F=0.15, U=0.15)</t>
  </si>
  <si>
    <t>Revenue (x0.45)</t>
  </si>
  <si>
    <t>Fairness (x0.15)</t>
  </si>
  <si>
    <t>Urgency (x0.15)</t>
  </si>
  <si>
    <t>100x0.45=45.0</t>
  </si>
  <si>
    <t>18x0.15=2.7</t>
  </si>
  <si>
    <t>45x0.15=6.8</t>
  </si>
  <si>
    <t>80x0.45=36.0</t>
  </si>
  <si>
    <t>67x0.25=16.8</t>
  </si>
  <si>
    <t>24x0.15=3.6</t>
  </si>
  <si>
    <t>60x0.45=27.0</t>
  </si>
  <si>
    <t>73x0.25=18.3</t>
  </si>
  <si>
    <t>Group B wins by 3.6 points over C and 11.1 over A. Revenue (45.0 vs 36.0 vs 27.0) is the dominant differentiator.</t>
  </si>
  <si>
    <t>All 3 groups share the same TTD (2h) and similar estimated stays, so Urgency contributes equally (6.8 each). The ranking is driven by Revenue, modulated by Capacity (solo A has the best capacity score but lowest revenue).</t>
  </si>
  <si>
    <t>$175 captured in a single admission. Revenue Focus delivers when revenue data is available.</t>
  </si>
  <si>
    <t>Front End (Simplified — 3 Variables)</t>
  </si>
  <si>
    <t>Back End — 3 Dimension Scores</t>
  </si>
  <si>
    <t>Selected Model</t>
  </si>
  <si>
    <t>Balanced</t>
  </si>
  <si>
    <t>Result</t>
  </si>
  <si>
    <t>Scores by Model</t>
  </si>
  <si>
    <t>PartySize</t>
  </si>
  <si>
    <t>CapScore</t>
  </si>
  <si>
    <t>EstStay_Max</t>
  </si>
  <si>
    <t>StayScore</t>
  </si>
  <si>
    <t>TTD_Max</t>
  </si>
  <si>
    <t>TTDScore</t>
  </si>
  <si>
    <t>Wait_Max</t>
  </si>
  <si>
    <t>WaitScore</t>
  </si>
  <si>
    <t>SkipScore</t>
  </si>
  <si>
    <t>AccessProgram</t>
  </si>
  <si>
    <t>Value_pp</t>
  </si>
  <si>
    <t>RevScore</t>
  </si>
  <si>
    <t>Model</t>
  </si>
  <si>
    <t>W1_Capacity</t>
  </si>
  <si>
    <t>W2_Fairness</t>
  </si>
  <si>
    <t>W3_Urgency</t>
  </si>
  <si>
    <t>Revenue Focus</t>
  </si>
  <si>
    <t>Efficiency Focus</t>
  </si>
  <si>
    <t>Fairness First</t>
  </si>
  <si>
    <t>waitlist_id</t>
  </si>
  <si>
    <t>party_size</t>
  </si>
  <si>
    <t>time_to_departure_min</t>
  </si>
  <si>
    <t>wait_time_min</t>
  </si>
  <si>
    <t>Urgency Score</t>
  </si>
  <si>
    <t>Occupancy Level</t>
  </si>
  <si>
    <t>Medium</t>
  </si>
  <si>
    <t>Final Score</t>
  </si>
  <si>
    <t>→</t>
  </si>
  <si>
    <t>W1 Capacity</t>
  </si>
  <si>
    <t>W2 Fairness</t>
  </si>
  <si>
    <t>Day Pass (walk-in)</t>
  </si>
  <si>
    <t>W3 Urgency</t>
  </si>
  <si>
    <t>PriorityScore =</t>
  </si>
  <si>
    <t>W1×Capacity + W2×Fairness + W3×Urgency</t>
  </si>
  <si>
    <t>Occupancy</t>
  </si>
  <si>
    <t>Modifier</t>
  </si>
  <si>
    <t>Occ. Modifier</t>
  </si>
  <si>
    <t>Low (&lt;50%)</t>
  </si>
  <si>
    <t>Hard Override Rules</t>
  </si>
  <si>
    <t>Model Weights Reference</t>
  </si>
  <si>
    <t>Score Formulas (Simplified)</t>
  </si>
  <si>
    <t>Rankings by Model</t>
  </si>
  <si>
    <t>High (&gt;80%)</t>
  </si>
  <si>
    <t>Condition</t>
  </si>
  <si>
    <t>Override</t>
  </si>
  <si>
    <t>Logic</t>
  </si>
  <si>
    <t>W1 Cap</t>
  </si>
  <si>
    <t>W2 Fair</t>
  </si>
  <si>
    <t>W3 Urg</t>
  </si>
  <si>
    <t>Dimension</t>
  </si>
  <si>
    <t>Formula</t>
  </si>
  <si>
    <t>Wait Time &gt; 60 min</t>
  </si>
  <si>
    <t>MaxWait guard</t>
  </si>
  <si>
    <t>VLOOKUP(PartySize) × OccMod</t>
  </si>
  <si>
    <t>VLOOKUP(WaitTime)</t>
  </si>
  <si>
    <t>VLOOKUP(TTD)</t>
  </si>
  <si>
    <t>Front End</t>
  </si>
  <si>
    <t>Back End — Dimension Scores</t>
  </si>
  <si>
    <t>W1_Revenue</t>
  </si>
  <si>
    <t>W2_Capacity</t>
  </si>
  <si>
    <t>W3_Fairness</t>
  </si>
  <si>
    <t>W4_Urgency</t>
  </si>
  <si>
    <t>time_to_departure</t>
  </si>
  <si>
    <t>access_program</t>
  </si>
  <si>
    <t>consecutive_skips</t>
  </si>
  <si>
    <t>est_stay_min</t>
  </si>
  <si>
    <t>Revenue Score</t>
  </si>
  <si>
    <t>W1 Revenue</t>
  </si>
  <si>
    <t>W2 Capacity</t>
  </si>
  <si>
    <t>W3 Fairness</t>
  </si>
  <si>
    <t>W4 Urgency</t>
  </si>
  <si>
    <t>Score Formulas</t>
  </si>
  <si>
    <t>W1 Rev</t>
  </si>
  <si>
    <t>W2 Cap</t>
  </si>
  <si>
    <t>W3 Fair</t>
  </si>
  <si>
    <t>W4 Urg</t>
  </si>
  <si>
    <t>VLOOKUP(AccessProgram → RevScore)</t>
  </si>
  <si>
    <t>(PartySize×0.4 + EstStay×0.6) × OccMod</t>
  </si>
  <si>
    <t>Skips ≥ 10</t>
  </si>
  <si>
    <t>Starvation guard</t>
  </si>
  <si>
    <t>(WaitScore×0.6) + (SkipScore×0.4)</t>
  </si>
  <si>
    <t>VLOOKUP(TTD → TTDScore)</t>
  </si>
  <si>
    <t>Back End</t>
  </si>
  <si>
    <t>access_program_type</t>
  </si>
  <si>
    <t>priority_score</t>
  </si>
  <si>
    <t>Party size</t>
  </si>
  <si>
    <t>Time to departure</t>
  </si>
  <si>
    <t>Access program type</t>
  </si>
  <si>
    <r>
      <rPr>
        <b/>
        <sz val="11"/>
        <color theme="1"/>
        <rFont val="Calibri"/>
        <family val="2"/>
        <scheme val="minor"/>
      </rPr>
      <t>PriorityScore</t>
    </r>
    <r>
      <rPr>
        <sz val="11"/>
        <color theme="1"/>
        <rFont val="Calibri"/>
        <family val="2"/>
        <scheme val="minor"/>
      </rPr>
      <t xml:space="preserve"> = ModelWeight (PartySizeScore)+ ModelWeight (TTDScore) + ModelWeight (AccessProgramScore)</t>
    </r>
  </si>
  <si>
    <t>Model Weigths</t>
  </si>
  <si>
    <r>
      <rPr>
        <b/>
        <sz val="11"/>
        <color theme="1"/>
        <rFont val="Calibri"/>
        <family val="2"/>
        <scheme val="minor"/>
      </rPr>
      <t xml:space="preserve">PriorityScore </t>
    </r>
    <r>
      <rPr>
        <sz val="11"/>
        <color theme="1"/>
        <rFont val="Calibri"/>
        <family val="2"/>
        <scheme val="minor"/>
      </rPr>
      <t>= 0.20(PartySizeScore)+0.35(TTDScore)+0.25(AccessProgramScore)</t>
    </r>
  </si>
  <si>
    <t>OPTIMIZATION MODES - Weight Configuration</t>
  </si>
  <si>
    <t>Admin configures per lounge. Staff sees active mode as badge. All weights are admin-configurable.</t>
  </si>
  <si>
    <t>When to Use</t>
  </si>
  <si>
    <t>Balanced (default)</t>
  </si>
  <si>
    <t>General purpose. Fairness slightly dominant. Safe default.</t>
  </si>
  <si>
    <t>AD-operated lounges. Commercial yield KPI. Revenue primary signal.</t>
  </si>
  <si>
    <t>Peak hours, long queues. Capacity dominant. Cycles short-stay passengers.</t>
  </si>
  <si>
    <t>After complaints. Wait time overwhelming factor.</t>
  </si>
  <si>
    <t>Hard constraint: W3 (Fairness) must never drop below 0.10 in any mode or custom configuration.</t>
  </si>
  <si>
    <t>Score Formula</t>
  </si>
  <si>
    <t>PriModelScore = (W1 x RevenueScore) + (W2 x CapacityScore) + (W3 x FairnessScore) + (W4 x UrgencyScore)</t>
  </si>
  <si>
    <t>All sub-scores normalized to 0-100 range. Final PriModelScore range: 0-100.</t>
  </si>
  <si>
    <t>(Suggestion) Top 3 entries by PriModelScore are presented to staff as suggestion cards or Show all the ranking and its potisions.</t>
  </si>
  <si>
    <t>Time to departure (minutes)</t>
  </si>
  <si>
    <t>Party size score</t>
  </si>
  <si>
    <t>TTD score</t>
  </si>
  <si>
    <t>Access program score</t>
  </si>
  <si>
    <t>0–15 min</t>
  </si>
  <si>
    <t>16–30 min</t>
  </si>
  <si>
    <t>31–60 min</t>
  </si>
  <si>
    <t>61–120 min</t>
  </si>
  <si>
    <t>5+</t>
  </si>
  <si>
    <t>121–180 min</t>
  </si>
  <si>
    <t>&gt;180 min</t>
  </si>
  <si>
    <t>THE FOUR DIMENSIONS OF PRIORITIZATION</t>
  </si>
  <si>
    <t>PriModel evaluates each waitlist entry across four dimensions. Each captures a fundamentally different aspect of the admission decision.</t>
  </si>
  <si>
    <t>Color</t>
  </si>
  <si>
    <t>What it answers</t>
  </si>
  <si>
    <t>Core metric</t>
  </si>
  <si>
    <t>Why it matters</t>
  </si>
  <si>
    <t>Red</t>
  </si>
  <si>
    <t>How much is this group worth commercially?</t>
  </si>
  <si>
    <t>Value per person ($) via lookup table</t>
  </si>
  <si>
    <t>Day Pass at $35/pp vs LoungeKey at $24/pp. Over a full day, revenue-aware ordering adds thousands in incremental yield.</t>
  </si>
  <si>
    <t>Blue</t>
  </si>
  <si>
    <t>How much space and time will this group consume?</t>
  </si>
  <si>
    <t>Party size score + Estimated stay score</t>
  </si>
  <si>
    <t>Solo staying 20 min = 100 on Capacity. Group of 3 staying 2.5h = 37. That gap determines 1 admission vs 4 in the same window.</t>
  </si>
  <si>
    <t>Green</t>
  </si>
  <si>
    <t>How long has this group waited, and how many times were they skipped?</t>
  </si>
  <si>
    <t>Wait time score + Consecutive skips score</t>
  </si>
  <si>
    <t>A passenger at 40 min with 5 skips scores 74 on Fairness. One at 5 min with 0 skips scores 6. Without tracking, high-value newcomers push others down indefinitely.</t>
  </si>
  <si>
    <t>Amber</t>
  </si>
  <si>
    <t>How close is the flight to departure?</t>
  </si>
  <si>
    <t>Time to departure score (no taper)</t>
  </si>
  <si>
    <t>15 min to departure = 100. 3 hours = 0. Short visits are optimal: passenger uses entitlement, lounge collects fee, seat frees fast.</t>
  </si>
  <si>
    <t>How dimensions combine</t>
  </si>
  <si>
    <t>Each dimension produces a sub-score on a 0-100 scale via parametrized lookup tables.</t>
  </si>
  <si>
    <t>The four sub-scores are combined with configurable weights into a single PriModelScore (0-100):</t>
  </si>
  <si>
    <t>Top 3 entries by PriModelScore are presented to staff as suggestion cards.</t>
  </si>
  <si>
    <t>The system suggests, the staff decides.</t>
  </si>
  <si>
    <t>Key design principles</t>
  </si>
  <si>
    <t>Principle</t>
  </si>
  <si>
    <t>Description</t>
  </si>
  <si>
    <t>Advisory only</t>
  </si>
  <si>
    <t>PriModel suggests, staff decides. No automated admission.</t>
  </si>
  <si>
    <t>Lounge-scoped</t>
  </si>
  <si>
    <t>Every parameter is configurable per lounge.</t>
  </si>
  <si>
    <t>Graceful degradation</t>
  </si>
  <si>
    <t>Missing data produces neutral scores (50), never penalties.</t>
  </si>
  <si>
    <t>Fairness floor</t>
  </si>
  <si>
    <t>No configuration can reduce fairness weight below 0.10.</t>
  </si>
  <si>
    <t>Passenger-invisible</t>
  </si>
  <si>
    <t>Passengers never see scores, dimensions, or prioritization logic.</t>
  </si>
  <si>
    <t>Full parametrization</t>
  </si>
  <si>
    <t>Every lookup table value, boundary, and weight is admin-configurable without code changes.</t>
  </si>
  <si>
    <t>Short visits are optimal</t>
  </si>
  <si>
    <t>A 10-minute visit collects the fee, frees the seat, and maximizes throughput. No taper penalty.</t>
  </si>
  <si>
    <t>SYSTEM VARIABLES</t>
  </si>
  <si>
    <t>Every input PriModel uses, mapped to its dimension, source, type, availability, and which lookup table it feeds.</t>
  </si>
  <si>
    <t>#</t>
  </si>
  <si>
    <t>Variable</t>
  </si>
  <si>
    <t>Type</t>
  </si>
  <si>
    <t>Dimension(s)</t>
  </si>
  <si>
    <t>Feeds Lookup Table</t>
  </si>
  <si>
    <t>Source</t>
  </si>
  <si>
    <t>Available?</t>
  </si>
  <si>
    <t>Notes</t>
  </si>
  <si>
    <t>Wait time (min elapsed)</t>
  </si>
  <si>
    <t>Derived</t>
  </si>
  <si>
    <t>LT-Fairness: Wait Time</t>
  </si>
  <si>
    <t>current_time minus join_timestamp</t>
  </si>
  <si>
    <t>Always</t>
  </si>
  <si>
    <t>Primary fairness signal. Updates every refresh cycle.</t>
  </si>
  <si>
    <t>Raw</t>
  </si>
  <si>
    <t>Revenue, Capacity</t>
  </si>
  <si>
    <t>LT-Capacity: Party Size</t>
  </si>
  <si>
    <t>Enrollment field (passenger or staff)</t>
  </si>
  <si>
    <t>Mandatory field. Impacts capacity consumption and revenue multiplier.</t>
  </si>
  <si>
    <t>Flight number</t>
  </si>
  <si>
    <t>Urgency, Capacity</t>
  </si>
  <si>
    <t>(resolves to #4, #5, #6, #7)</t>
  </si>
  <si>
    <t>Enrollment field (mandatory)</t>
  </si>
  <si>
    <t>Mandatory. Single input that unlocks departure time, status, and estimated stay.</t>
  </si>
  <si>
    <t>Flight departure time</t>
  </si>
  <si>
    <t>(feeds #5 and #7)</t>
  </si>
  <si>
    <t>Flight API (from flight number)</t>
  </si>
  <si>
    <t>Auto-populated. Real-time updates if airline reschedules.</t>
  </si>
  <si>
    <t>Time to departure (min)</t>
  </si>
  <si>
    <t>LT-Urgency: TTD Score</t>
  </si>
  <si>
    <t>departure_time minus current_time</t>
  </si>
  <si>
    <t>Core urgency signal. Closer = higher score. No taper.</t>
  </si>
  <si>
    <t>Flight status</t>
  </si>
  <si>
    <t>LT-Urgency: Flight Status Modifier</t>
  </si>
  <si>
    <t>Flight API real-time</t>
  </si>
  <si>
    <t>On Time, Delayed, Boarding, Departed, Not Found.</t>
  </si>
  <si>
    <t>Estimated stay (min)</t>
  </si>
  <si>
    <t>LT-Capacity: Est Stay</t>
  </si>
  <si>
    <t>min(max_stay_limit, TTD minus boarding_buffer)</t>
  </si>
  <si>
    <t>Derived from flight data. Fallback: default_stay_estimate (120 min).</t>
  </si>
  <si>
    <t>Consecutive skips</t>
  </si>
  <si>
    <t>LT-Fairness: Skips Score</t>
  </si>
  <si>
    <t>Increments on each admission event while entry waits</t>
  </si>
  <si>
    <t>Starvation signal. Skipped 8 times != skipped once.</t>
  </si>
  <si>
    <t xml:space="preserve">Current occupancy (%) </t>
  </si>
  <si>
    <t>Dynamic</t>
  </si>
  <si>
    <t>Occupancy Pressure Modifier</t>
  </si>
  <si>
    <t>LMS headcount vs max capacity</t>
  </si>
  <si>
    <t>Yes</t>
  </si>
  <si>
    <t>Drives modifier: Low (&lt;50%) x0.8, Med x1.0, High (&gt;80%) x1.2.</t>
  </si>
  <si>
    <t>Available seats estimate</t>
  </si>
  <si>
    <t>(context for staff cards)</t>
  </si>
  <si>
    <t>max_capacity minus headcount</t>
  </si>
  <si>
    <t>Group of 4 with 2 seats != group of 4 with 20 seats.</t>
  </si>
  <si>
    <t>Pre-bookings (next N min)</t>
  </si>
  <si>
    <t>(adjusts effective available seats)</t>
  </si>
  <si>
    <t>Pre-booking system (native LMS)</t>
  </si>
  <si>
    <t>Native LMS data. Reduces effective available seats for capacity calc.</t>
  </si>
  <si>
    <t>Access program</t>
  </si>
  <si>
    <t>LT-Revenue: Value/pp Score</t>
  </si>
  <si>
    <t>Passenger-declared or staff-added</t>
  </si>
  <si>
    <t>Frequently missing</t>
  </si>
  <si>
    <t>PP, LK, Amex, Day Pass, etc. Maps to benefit card fee. Primary revenue gap at launch.</t>
  </si>
  <si>
    <t>Value per person ($/pp)</t>
  </si>
  <si>
    <t>Revenue waterfall: deal &gt; benefit card &gt; default &gt; neutral 50</t>
  </si>
  <si>
    <t>Hard to get</t>
  </si>
  <si>
    <t>Depends on access program (#12) or membership ID (#15).</t>
  </si>
  <si>
    <t>Total group value</t>
  </si>
  <si>
    <t>value/pp x party_size</t>
  </si>
  <si>
    <t>Displayed on suggestion cards. Not a separate scoring input.</t>
  </si>
  <si>
    <t>Membership ID</t>
  </si>
  <si>
    <t>Revenue (key)</t>
  </si>
  <si>
    <t>(unlocks deal pipeline for #13)</t>
  </si>
  <si>
    <t>Self-service, DMC scan, or app auto-ID</t>
  </si>
  <si>
    <t>Phase 3</t>
  </si>
  <si>
    <t>Three acquisition paths. PPF app timeline: late 2026.</t>
  </si>
  <si>
    <t>Day-of-week pattern</t>
  </si>
  <si>
    <t>Capacity (context)</t>
  </si>
  <si>
    <t>(future ETA enhancement)</t>
  </si>
  <si>
    <t>Historical analytics</t>
  </si>
  <si>
    <t>Phase 3+</t>
  </si>
  <si>
    <t>Friday afternoon throughput differs from Tuesday morning.</t>
  </si>
  <si>
    <t>Visit Fee Reference</t>
  </si>
  <si>
    <t>Rationale</t>
  </si>
  <si>
    <t>No issuer deal. Lounge retains full margin.</t>
  </si>
  <si>
    <t>Standard issuer deal rate.</t>
  </si>
  <si>
    <t>Issuer-negotiated rate.</t>
  </si>
  <si>
    <t>Color legend (availability)</t>
  </si>
  <si>
    <t>Always available at launch</t>
  </si>
  <si>
    <t>Teal</t>
  </si>
  <si>
    <t>Available with standard LMS</t>
  </si>
  <si>
    <t>Frequently missing / hard to get</t>
  </si>
  <si>
    <t>Purple</t>
  </si>
  <si>
    <t>Requires integration or Phase 3+</t>
  </si>
  <si>
    <t>Type legend</t>
  </si>
  <si>
    <t>Captured directly from passenger, staff, or system. No calculation.</t>
  </si>
  <si>
    <t>Calculated from other variables. Automatic, no manual input needed.</t>
  </si>
  <si>
    <t>PARAMETRIZED NORMALIZATION</t>
  </si>
  <si>
    <t>How raw variables become scores</t>
  </si>
  <si>
    <t>The problem</t>
  </si>
  <si>
    <t>Raw variables have different units and scales. Party size is 1-6+. Wait time is 0-60+ minutes. Time to departure is 0-180+ minutes. Value per person is $0-$35+. These cannot be compared or weighted directly.</t>
  </si>
  <si>
    <t>The solution: lookup tables</t>
  </si>
  <si>
    <t>Each raw variable passes through a lookup table that converts it to a score on a 0-100 scale. The lookup tables are fixed per lounge configuration. They do not change when the queue composition changes.</t>
  </si>
  <si>
    <t>Why parametrized (not relative)</t>
  </si>
  <si>
    <t>Aspect</t>
  </si>
  <si>
    <t>Parametrized (lookup tables)</t>
  </si>
  <si>
    <t>Relative (divide by queue max)</t>
  </si>
  <si>
    <t>Stability</t>
  </si>
  <si>
    <t>party_size=1 always scores 100 on Capacity</t>
  </si>
  <si>
    <t>Score changes every time someone joins or leaves the queue</t>
  </si>
  <si>
    <t>Predictability</t>
  </si>
  <si>
    <t>Staff learns: solo with near departure = high score</t>
  </si>
  <si>
    <t>Same solo can rank #1 or #3 depending on who else is in line</t>
  </si>
  <si>
    <t>Testability</t>
  </si>
  <si>
    <t>QA verifies: input X always produces output Y</t>
  </si>
  <si>
    <t>Test cases depend on full queue state</t>
  </si>
  <si>
    <t>Debuggability</t>
  </si>
  <si>
    <t>Trace back to fixed lookup value</t>
  </si>
  <si>
    <t>Trace back to dynamic normalization across N entries</t>
  </si>
  <si>
    <t>Internal approval</t>
  </si>
  <si>
    <t>Visible tables that anyone can review</t>
  </si>
  <si>
    <t>Formula that requires simulation to understand</t>
  </si>
  <si>
    <t>Example: party_size = 2</t>
  </si>
  <si>
    <t>Approach</t>
  </si>
  <si>
    <t>Queue has [1, 2, 3]</t>
  </si>
  <si>
    <t>Queue has [2, 2, 5]</t>
  </si>
  <si>
    <t>Queue has [2]</t>
  </si>
  <si>
    <t>Parametrized</t>
  </si>
  <si>
    <t>Score = 85 (always)</t>
  </si>
  <si>
    <t>Relative</t>
  </si>
  <si>
    <t>Score = 0.67 (2/3 = mid)</t>
  </si>
  <si>
    <t>Score = 0.60 (2/5 = low-mid)</t>
  </si>
  <si>
    <t>Score = 1.00 (2/2 = max)</t>
  </si>
  <si>
    <t>With parametrized normalization, the score is always 85. With relative, it fluctuates between 0.60 and 1.00 depending on who else is in the queue. Staff cannot build intuition on a moving target.</t>
  </si>
  <si>
    <t>Future evolution</t>
  </si>
  <si>
    <t>Parametrized normalization is the Phase 2 starting point. In Phase 3+, the model can evolve to hybrid normalization (parametrized base + relative adjustment within each dimension) or fully relative scoring as the team gains confidence and data coverage improves.</t>
  </si>
  <si>
    <t>DATA FLOW: FRONT-END TO SCORE</t>
  </si>
  <si>
    <t>How raw inputs become a PriModelScore</t>
  </si>
  <si>
    <t>Stage 1: Front-End Capture</t>
  </si>
  <si>
    <t>Field</t>
  </si>
  <si>
    <t>Who provides it</t>
  </si>
  <si>
    <t>Required?</t>
  </si>
  <si>
    <t>Example</t>
  </si>
  <si>
    <t>waitlistID</t>
  </si>
  <si>
    <t>System-generated</t>
  </si>
  <si>
    <t>Auto</t>
  </si>
  <si>
    <t>WL-20250323-001</t>
  </si>
  <si>
    <t>Passenger or staff</t>
  </si>
  <si>
    <t>Mandatory</t>
  </si>
  <si>
    <t>2</t>
  </si>
  <si>
    <t>flight_number</t>
  </si>
  <si>
    <t>LA 635</t>
  </si>
  <si>
    <t>Optional</t>
  </si>
  <si>
    <t>Priority Pass (frequently missing)</t>
  </si>
  <si>
    <t>Stage 2: Back-End Derivation</t>
  </si>
  <si>
    <t>Derived variable</t>
  </si>
  <si>
    <t>How it is calculated</t>
  </si>
  <si>
    <t>Depends on</t>
  </si>
  <si>
    <t>wait_time</t>
  </si>
  <si>
    <t>join_timestamp (auto)</t>
  </si>
  <si>
    <t>flight_number &gt; Flight API</t>
  </si>
  <si>
    <t>flight_status</t>
  </si>
  <si>
    <t>Flight API real-time response</t>
  </si>
  <si>
    <t>estimated_stay</t>
  </si>
  <si>
    <t>Increments each time another entry is admitted</t>
  </si>
  <si>
    <t>admission event log</t>
  </si>
  <si>
    <t>value_per_person</t>
  </si>
  <si>
    <t>access_program or membership_id</t>
  </si>
  <si>
    <t>total_group_value</t>
  </si>
  <si>
    <t>value_per_person x party_size</t>
  </si>
  <si>
    <t>value_per_person + party_size</t>
  </si>
  <si>
    <t>Stage 3: Lookup Table Normalization</t>
  </si>
  <si>
    <t>Raw input(s)</t>
  </si>
  <si>
    <t>Lookup table(s)</t>
  </si>
  <si>
    <t>Sub-score formula</t>
  </si>
  <si>
    <t>Output</t>
  </si>
  <si>
    <t>party_size, estimated_stay</t>
  </si>
  <si>
    <t>LT-Capacity: Party Size + Est Stay</t>
  </si>
  <si>
    <t>(PartyScore x 0.4) + (StayScore x 0.6)</t>
  </si>
  <si>
    <t>CapacityScore (0-100)</t>
  </si>
  <si>
    <t>wait_time, consecutive_skips</t>
  </si>
  <si>
    <t>LT-Fairness: Wait Time + Skips</t>
  </si>
  <si>
    <t>(WaitScore x 0.6) + (SkipScore x 0.4)</t>
  </si>
  <si>
    <t>FairnessScore (0-100)</t>
  </si>
  <si>
    <t>time_to_departure, flight_status</t>
  </si>
  <si>
    <t>LT-Urgency: TTD + Flight Status</t>
  </si>
  <si>
    <t>TTD_Score (modified by flight status)</t>
  </si>
  <si>
    <t>UrgencyScore (0-100)</t>
  </si>
  <si>
    <t>LT-Revenue: Value/pp</t>
  </si>
  <si>
    <t>Value_Score (from lookup)</t>
  </si>
  <si>
    <t>RevenueScore (0-100)</t>
  </si>
  <si>
    <t>Stage 4: Weighted Composite Score</t>
  </si>
  <si>
    <t>Weights are determined by the active Optimization Mode (Balanced, Revenue Focus, Efficiency Focus, Fairness First).</t>
  </si>
  <si>
    <t>Hard overrides bypass the score entirely: Max Wait (&gt;60 min) = 999, Starvation Guard (&gt;10 skips) = 998, Flight Departed = 0.</t>
  </si>
  <si>
    <t>Stage 5: Output to Staff</t>
  </si>
  <si>
    <t>Top 3 entries by PriModelScore are presented as suggestion cards.</t>
  </si>
  <si>
    <t>Each card shows: group info (program, party size), flight info (departure time, status badge), and a reasoning label (dominant dimension).</t>
  </si>
  <si>
    <t>Staff sees the recommendation. Staff decides whether to follow it or override.</t>
  </si>
  <si>
    <t>Concrete example: Group A from Scenario 1</t>
  </si>
  <si>
    <t>Stage</t>
  </si>
  <si>
    <t>Data</t>
  </si>
  <si>
    <t>Value</t>
  </si>
  <si>
    <t>1. Front-end</t>
  </si>
  <si>
    <t>1</t>
  </si>
  <si>
    <t>LA 635 (SCL, 4:10 PM)</t>
  </si>
  <si>
    <t>2. Derivation</t>
  </si>
  <si>
    <t>15 min</t>
  </si>
  <si>
    <t>50 min</t>
  </si>
  <si>
    <t>20 min (50 - 30 buffer)</t>
  </si>
  <si>
    <t>$27 (PP benefit card fee)</t>
  </si>
  <si>
    <t>0</t>
  </si>
  <si>
    <t>3. Normalization</t>
  </si>
  <si>
    <t>CapacityScore</t>
  </si>
  <si>
    <t>(100 x 0.4) + (100 x 0.6) = 100</t>
  </si>
  <si>
    <t>FairnessScore</t>
  </si>
  <si>
    <t>(30 x 0.6) + (0 x 0.4) = 18</t>
  </si>
  <si>
    <t>UrgencyScore</t>
  </si>
  <si>
    <t>80 (TTD 46-60 range)</t>
  </si>
  <si>
    <t>RevenueScore</t>
  </si>
  <si>
    <t>80 ($27-34 range)</t>
  </si>
  <si>
    <t>4. Weighted score</t>
  </si>
  <si>
    <t>Balanced mode</t>
  </si>
  <si>
    <t>(80x0.25)+(100x0.25)+(18x0.30)+(80x0.20) = 66.4</t>
  </si>
  <si>
    <t>5. Output</t>
  </si>
  <si>
    <t>Rank #1</t>
  </si>
  <si>
    <t>Label: Quick turnover + flight departing soon</t>
  </si>
  <si>
    <t>Full comparison: all 3 groups from Scenario 1</t>
  </si>
  <si>
    <t>Gap to #1</t>
  </si>
  <si>
    <t>A (PP, solo)</t>
  </si>
  <si>
    <t>---</t>
  </si>
  <si>
    <t>B (Amex, couple)</t>
  </si>
  <si>
    <t>-19.5</t>
  </si>
  <si>
    <t>C (LK, group of 3)</t>
  </si>
  <si>
    <t>-40.3</t>
  </si>
  <si>
    <t>19.5-point gap between #1 and #2. 40.3-point gap between #1 and #3. Decisive, not marginal.</t>
  </si>
  <si>
    <t>CAPACITY DIMENSION - Lookup Tables</t>
  </si>
  <si>
    <t>Lower seat-minutes = higher score = better for throughput</t>
  </si>
  <si>
    <t>Table 1: Party Size Score</t>
  </si>
  <si>
    <t>Solo = minimal seat consumption. Maximum throughput.</t>
  </si>
  <si>
    <t>Couple. Double the seats but still manageable.</t>
  </si>
  <si>
    <t>Small group. Meaningful capacity impact.</t>
  </si>
  <si>
    <t>Medium group. Significant seat consumption.</t>
  </si>
  <si>
    <t>Large group. High capacity cost.</t>
  </si>
  <si>
    <t>6+</t>
  </si>
  <si>
    <t>Very large group. Near-maximum capacity penalty.</t>
  </si>
  <si>
    <t>Table 2: Party Size Score</t>
  </si>
  <si>
    <t>Pre book Party Size next 1 hour</t>
  </si>
  <si>
    <t xml:space="preserve">Balanço entre quem esta entrando e quem esta saindo </t>
  </si>
  <si>
    <t>Table 3: Time to prebook</t>
  </si>
  <si>
    <t>Time to prebook (Min)</t>
  </si>
  <si>
    <t>0-15 min</t>
  </si>
  <si>
    <t>16-30 min</t>
  </si>
  <si>
    <t>31-45 min</t>
  </si>
  <si>
    <t>46-60 min</t>
  </si>
  <si>
    <t>61-90 min</t>
  </si>
  <si>
    <t>91-120 min</t>
  </si>
  <si>
    <t>Table 4: Estimated Stay Score</t>
  </si>
  <si>
    <t>Estimated Stay (min)</t>
  </si>
  <si>
    <t>Stay Score</t>
  </si>
  <si>
    <t>0-20 min</t>
  </si>
  <si>
    <t>Ultra-short visit. Seat frees almost immediately. Maximum throughput.</t>
  </si>
  <si>
    <t>21-40 min</t>
  </si>
  <si>
    <t>Short visit. Quick turnover.</t>
  </si>
  <si>
    <t>41-60 min</t>
  </si>
  <si>
    <t>Standard short visit. Good turnover.</t>
  </si>
  <si>
    <t>Medium visit. Moderate capacity impact.</t>
  </si>
  <si>
    <t>Long visit. Significant capacity consumption.</t>
  </si>
  <si>
    <t>121-150 min</t>
  </si>
  <si>
    <t>Very long visit. High capacity cost.</t>
  </si>
  <si>
    <t>151-180 min</t>
  </si>
  <si>
    <t>Maximum stay. Locks seat for extended period.</t>
  </si>
  <si>
    <t>180+ min</t>
  </si>
  <si>
    <t>Exceeds max stay limit. Capped at max_stay_limit.</t>
  </si>
  <si>
    <t>Composite Capacity Score</t>
  </si>
  <si>
    <t>CapacityScore = PartySize_Score *1</t>
  </si>
  <si>
    <t>Phase 1</t>
  </si>
  <si>
    <t>CapacityScore = PartySize_Score *1 - prebooking</t>
  </si>
  <si>
    <t>CapacityScore = (PartySize_Score * 0.4) + (EstStay_Score * 0.6)</t>
  </si>
  <si>
    <t>Estimated stay carries more weight because it directly measures time-based seat consumption.</t>
  </si>
  <si>
    <t>Threshold</t>
  </si>
  <si>
    <t>Effect</t>
  </si>
  <si>
    <t>Low</t>
  </si>
  <si>
    <t>&lt; 50%</t>
  </si>
  <si>
    <t>x 0.8</t>
  </si>
  <si>
    <t>Capacity matters less. Scores compressed toward center.</t>
  </si>
  <si>
    <t>50-80%</t>
  </si>
  <si>
    <t>x 1.0</t>
  </si>
  <si>
    <t>Standard scoring. No modifier.</t>
  </si>
  <si>
    <t>High</t>
  </si>
  <si>
    <t>&gt; 80%</t>
  </si>
  <si>
    <t>x 1.2</t>
  </si>
  <si>
    <t>Capacity matters more. Small groups and short stays get stronger boost.</t>
  </si>
  <si>
    <t>URGENCY DIMENSION - Lookup Tables</t>
  </si>
  <si>
    <t>Closer departure = higher score. NO TAPER. Short visits are optimal.</t>
  </si>
  <si>
    <t>Table 1: Time to Departure Score</t>
  </si>
  <si>
    <t>Design principle: a short visit is not penalized. The passenger uses their entitlement, the lounge collects the fee, the seat frees up fast. Everyone wins.</t>
  </si>
  <si>
    <t>Time to Departure (min)</t>
  </si>
  <si>
    <t>TTD Score</t>
  </si>
  <si>
    <t>Imminent departure. Maximum urgency. Ultra-short visit = maximum throughput.</t>
  </si>
  <si>
    <t>Very near departure. Quick visit, fast turnover.</t>
  </si>
  <si>
    <t>Near departure. Short usable lounge time.</t>
  </si>
  <si>
    <t>Within 1 hour. Strong urgency signal.</t>
  </si>
  <si>
    <t>Moderate urgency. Standard lounge visit window.</t>
  </si>
  <si>
    <t>Low-moderate urgency. Longer stay expected.</t>
  </si>
  <si>
    <t>Low urgency. Extended stay.</t>
  </si>
  <si>
    <t>Minimal urgency. Near max stay limit.</t>
  </si>
  <si>
    <t>No urgency. Flight is far. Urgency dimension contributes nothing.</t>
  </si>
  <si>
    <t>Table 2: Flight Status Modifier</t>
  </si>
  <si>
    <t>Flight Status</t>
  </si>
  <si>
    <t>On Time</t>
  </si>
  <si>
    <t>Standard TTD score applies.</t>
  </si>
  <si>
    <t>Delayed</t>
  </si>
  <si>
    <t xml:space="preserve">Recalculate (~15min real time) - Scheduler </t>
  </si>
  <si>
    <t>Use new departure time. TTD score recalculated with updated time.</t>
  </si>
  <si>
    <t>Boarding</t>
  </si>
  <si>
    <t>Override to maximum urgency. Passenger should enter now or lose opportunity.</t>
  </si>
  <si>
    <t>Departed</t>
  </si>
  <si>
    <t>Hard override: PriModelScore = 0. Entry removed from suggestions.</t>
  </si>
  <si>
    <t>Not Found</t>
  </si>
  <si>
    <t>Neutral. Flight data unavailable. No boost, no penalty.</t>
  </si>
  <si>
    <t>Composite Urgency Score</t>
  </si>
  <si>
    <t>UrgencyScore = TTD_Score (modified by Flight Status)</t>
  </si>
  <si>
    <t>Single-variable dimension. Flight status acts as modifier/override, not as a separate sub-score.</t>
  </si>
  <si>
    <t>FAIRNESS DIMENSION - Lookup Tables</t>
  </si>
  <si>
    <t>Longer wait + more skips = higher score = higher priority</t>
  </si>
  <si>
    <t>Table 1: Wait Time Score</t>
  </si>
  <si>
    <t>Wait Time (min)</t>
  </si>
  <si>
    <t>0-5 min</t>
  </si>
  <si>
    <t>Just arrived. Minimal fairness pressure.</t>
  </si>
  <si>
    <t>6-10 min</t>
  </si>
  <si>
    <t>Short wait. Low fairness signal.</t>
  </si>
  <si>
    <t>11-15 min</t>
  </si>
  <si>
    <t>Moderate short wait.</t>
  </si>
  <si>
    <t>16-20 min</t>
  </si>
  <si>
    <t>Getting noticeable.</t>
  </si>
  <si>
    <t>21-25 min</t>
  </si>
  <si>
    <t>Mid-range wait. Fairness starts mattering.</t>
  </si>
  <si>
    <t>26-30 min</t>
  </si>
  <si>
    <t>Significant wait. Passenger may be frustrated.</t>
  </si>
  <si>
    <t>31-35 min</t>
  </si>
  <si>
    <t>Long wait. Strong fairness signal.</t>
  </si>
  <si>
    <t>36-40 min</t>
  </si>
  <si>
    <t>Very long wait. High fairness pressure.</t>
  </si>
  <si>
    <t>41-50 min</t>
  </si>
  <si>
    <t>Approaching ceiling. Near-maximum priority.</t>
  </si>
  <si>
    <t>51-60 min</t>
  </si>
  <si>
    <t>Near hard override threshold.</t>
  </si>
  <si>
    <t>60+ min</t>
  </si>
  <si>
    <t>Hard override triggers at 60 min. Score = 999 (bypasses all weights).</t>
  </si>
  <si>
    <t>Table 2: Consecutive Skips Score</t>
  </si>
  <si>
    <t>Consecutive Skips</t>
  </si>
  <si>
    <t>Skip Score</t>
  </si>
  <si>
    <t>Not skipped. No starvation signal.</t>
  </si>
  <si>
    <t>Skipped once. Minimal concern.</t>
  </si>
  <si>
    <t>Skipped twice. Noticeable pattern.</t>
  </si>
  <si>
    <t>Three skips. Passenger may perceive unfairness.</t>
  </si>
  <si>
    <t>Four skips. Staff should be aware.</t>
  </si>
  <si>
    <t>Five skips. Strong starvation signal.</t>
  </si>
  <si>
    <t>Six skips. High priority boost.</t>
  </si>
  <si>
    <t>Seven skips. Very high starvation.</t>
  </si>
  <si>
    <t>Eight skips. Near override.</t>
  </si>
  <si>
    <t>Nine skips. Critical.</t>
  </si>
  <si>
    <t>10+</t>
  </si>
  <si>
    <t>Starvation Guard triggers. Score = 998 (bypasses weights).</t>
  </si>
  <si>
    <t>Composite Fairness Score</t>
  </si>
  <si>
    <t>FairnessScore = (WaitTime_Score * 0.6) + (Skips_Score * 0.4)</t>
  </si>
  <si>
    <t>Wait time carries more weight. Skips add precision for cases where two groups waited the same time but one was actively bypassed.</t>
  </si>
  <si>
    <t>REVENUE DIMENSION - Lookup Tables</t>
  </si>
  <si>
    <t>Higher total group value = higher score. Revenue is an upgrade, not a requirement.</t>
  </si>
  <si>
    <t>Table 1: Value Per Person Score (when access program is known)</t>
  </si>
  <si>
    <t>Value/pp ($)</t>
  </si>
  <si>
    <t>Value Score</t>
  </si>
  <si>
    <t>Example Program</t>
  </si>
  <si>
    <t>$35+</t>
  </si>
  <si>
    <t>Full margin. No issuer deal. Maximum revenue per seat.</t>
  </si>
  <si>
    <t>$27-34</t>
  </si>
  <si>
    <t>Priority Pass ($27)</t>
  </si>
  <si>
    <t>Standard issuer deal. Strong revenue signal.</t>
  </si>
  <si>
    <t>$25-26</t>
  </si>
  <si>
    <t>Amex Platinum ($25)</t>
  </si>
  <si>
    <t>Issuer-negotiated. Good revenue.</t>
  </si>
  <si>
    <t>$20-24</t>
  </si>
  <si>
    <t>LoungeKey ($24)</t>
  </si>
  <si>
    <t>Standard deal. Moderate revenue.</t>
  </si>
  <si>
    <t>$15-19</t>
  </si>
  <si>
    <t>Low-value deal</t>
  </si>
  <si>
    <t>Below-average revenue per seat.</t>
  </si>
  <si>
    <t>$10-14</t>
  </si>
  <si>
    <t>Deep discount deal</t>
  </si>
  <si>
    <t>Low revenue. Capacity cost matters more.</t>
  </si>
  <si>
    <t>$0-9</t>
  </si>
  <si>
    <t>Complimentary / very low</t>
  </si>
  <si>
    <t>Near-zero revenue signal.</t>
  </si>
  <si>
    <t>Unknown</t>
  </si>
  <si>
    <t>Access program not declared</t>
  </si>
  <si>
    <t>Neutral. No boost, no penalty. Other dimensions decide.</t>
  </si>
  <si>
    <t>Table 2: Party Size Revenue Multiplier</t>
  </si>
  <si>
    <t>Unlike Capacity (where bigger party = lower score), for Revenue bigger party = higher total value.</t>
  </si>
  <si>
    <t>Multiplier</t>
  </si>
  <si>
    <t>Example: PP at $27/pp</t>
  </si>
  <si>
    <t>Total Group Value</t>
  </si>
  <si>
    <t>$27 x 1</t>
  </si>
  <si>
    <t>x 2.0</t>
  </si>
  <si>
    <t>$27 x 2</t>
  </si>
  <si>
    <t>x 3.0</t>
  </si>
  <si>
    <t>$27 x 3</t>
  </si>
  <si>
    <t>$81</t>
  </si>
  <si>
    <t>x 4.0</t>
  </si>
  <si>
    <t>$27 x 4</t>
  </si>
  <si>
    <t>$108</t>
  </si>
  <si>
    <t>x 5.0</t>
  </si>
  <si>
    <t>$27 x 5</t>
  </si>
  <si>
    <t>$135</t>
  </si>
  <si>
    <t>Composite Revenue Score</t>
  </si>
  <si>
    <t>RevenueScore = Value_Score (from Table 1, based on value/pp or neutral 50 if unknown)</t>
  </si>
  <si>
    <t>Total Group Value = value/pp x party_size (used as context signal on suggestion cards, not directly in the score).</t>
  </si>
  <si>
    <t>Note: party_size already boosts Revenue implicitly through TotalGroupValue. At launch, with most entries lacking access program data, Revenue scores will be neutral (50) for the majority. The model works on 3 dimensions until revenue data coverage improves.</t>
  </si>
  <si>
    <t>Revenue Data Waterfall (best available source)</t>
  </si>
  <si>
    <t>Priority</t>
  </si>
  <si>
    <t>Phase</t>
  </si>
  <si>
    <t>Lookup</t>
  </si>
  <si>
    <t>Tier 1</t>
  </si>
  <si>
    <t>Deal-based visit cost (membership ID &gt; deal ID &gt; visit cost)</t>
  </si>
  <si>
    <t>Use deal visit cost as value/pp</t>
  </si>
  <si>
    <t>Tier 2</t>
  </si>
  <si>
    <t>Benefit card fee (access program &gt; benefit card &gt; fee)</t>
  </si>
  <si>
    <t>Phase 2</t>
  </si>
  <si>
    <t>Use benefit card fee as value/pp</t>
  </si>
  <si>
    <t>Tier 3</t>
  </si>
  <si>
    <t>Lounge default value per person (admin-configured)</t>
  </si>
  <si>
    <t>Use lounge.default_value_per_person</t>
  </si>
  <si>
    <t>Tier 4</t>
  </si>
  <si>
    <t>No data available</t>
  </si>
  <si>
    <t>Score = 50 (neutral)</t>
  </si>
  <si>
    <t>What happens when access program is unknown (most entries at launch)</t>
  </si>
  <si>
    <t>When access program is not declared and no membership ID exists, the system falls through the revenue waterfall to Tier 4: neutral score of 50.</t>
  </si>
  <si>
    <t>Score 50 means: no boost, no penalty. The entry is not pushed to the bottom of the queue. It simply does not receive revenue-based differentiation.</t>
  </si>
  <si>
    <t>If all entries in the queue have Revenue = 50, the Revenue dimension contributes equally to all scores. The other three dimensions (Capacity, Fairness, Urgency) determine the ranking entirely.</t>
  </si>
  <si>
    <t>Revenue Focus mode without revenue data behaves like Balanced mode. The mode gains power as data coverage improves.</t>
  </si>
  <si>
    <t>HARD OVERRIDE RULES</t>
  </si>
  <si>
    <t>Binary rules that bypass the composite score entirely. No weight tuning changes these outcomes.</t>
  </si>
  <si>
    <t>Trigger</t>
  </si>
  <si>
    <t>Configurable Parameter</t>
  </si>
  <si>
    <t>Max Wait</t>
  </si>
  <si>
    <t>wait_time &gt; max_wait_hard_ceiling</t>
  </si>
  <si>
    <t>Score = 999. Forced to #1.</t>
  </si>
  <si>
    <t>max_wait_hard_ceiling (default: 60 min)</t>
  </si>
  <si>
    <t>Starvation Guard</t>
  </si>
  <si>
    <t>consecutive_skips &gt; max_consecutive_skips</t>
  </si>
  <si>
    <t>Score = 998. Forced to #1 (after Max Wait).</t>
  </si>
  <si>
    <t>max_consecutive_skips (default: 10)</t>
  </si>
  <si>
    <t>Flight Departed</t>
  </si>
  <si>
    <t>flight_status = Departed</t>
  </si>
  <si>
    <t>Score = 0. Excluded from suggestions.</t>
  </si>
  <si>
    <t>N/A (automatic via Flight API)</t>
  </si>
  <si>
    <t>Program Cap</t>
  </si>
  <si>
    <t>Last N admissions all same access_program</t>
  </si>
  <si>
    <t>Score x 0.5. Penalty, not override.</t>
  </si>
  <si>
    <t>program_cap_window (default: 3)</t>
  </si>
  <si>
    <t>Override precedence: Max Wait (999) &gt; Starvation Guard (998) &gt; Flight Departed (0) &gt; Program Cap (x0.5)</t>
  </si>
  <si>
    <t>If Max Wait and Starvation Guard trigger simultaneously, Max Wait wins (higher score: 999 &gt; 998).</t>
  </si>
  <si>
    <t>If Program Cap and Max Wait trigger simultaneously, Max Wait wins (hard override &gt; penalty).</t>
  </si>
  <si>
    <t>DATA DEGRADATION</t>
  </si>
  <si>
    <t>What happens when variables are missing</t>
  </si>
  <si>
    <t>Design principle: missing data produces neutral scores (50), never penalties.</t>
  </si>
  <si>
    <t>Data dependency</t>
  </si>
  <si>
    <t>What if missing?</t>
  </si>
  <si>
    <t>Fallback score</t>
  </si>
  <si>
    <t>Impact on ranking</t>
  </si>
  <si>
    <t>Access program, value/pp</t>
  </si>
  <si>
    <t>No revenue differentiation. All entries score the same.</t>
  </si>
  <si>
    <t>50 (neutral)</t>
  </si>
  <si>
    <t>Other 3 dimensions decide. Most common scenario at launch.</t>
  </si>
  <si>
    <t>Party size (always known), flight departure</t>
  </si>
  <si>
    <t>If Flight API fails: use default_stay_estimate (120 min). Party size still differentiates.</t>
  </si>
  <si>
    <t>Lookup with default stay</t>
  </si>
  <si>
    <t>Minimal impact. Capacity still works with fallback.</t>
  </si>
  <si>
    <t>Wait time (always known), skips (always tracked)</t>
  </si>
  <si>
    <t>Never missing. Both signals are system-generated.</t>
  </si>
  <si>
    <t>N/A</t>
  </si>
  <si>
    <t>No impact. Most robust dimension.</t>
  </si>
  <si>
    <t>If Flight API fails entirely: neutral score.</t>
  </si>
  <si>
    <t>Rare. Flight number is mandatory in enrollment.</t>
  </si>
  <si>
    <t>What this means in practice</t>
  </si>
  <si>
    <t>Mode</t>
  </si>
  <si>
    <t>With full revenue data</t>
  </si>
  <si>
    <t>With revenue missing (most entries at launch)</t>
  </si>
  <si>
    <t>4-dimension model. Revenue contributes 25% of score.</t>
  </si>
  <si>
    <t>Effectively 3-dimension model. Revenue = 50 for all. Capacity + Fairness + Urgency decide (75% of weight).</t>
  </si>
  <si>
    <t>Revenue dominates at 45%. Strong differentiation by value/pp.</t>
  </si>
  <si>
    <t>Revenue = 50 for all. 45% of weight produces zero differentiation. Behaves like Balanced mode.</t>
  </si>
  <si>
    <t>Revenue minor (15%). Capacity + Urgency dominate.</t>
  </si>
  <si>
    <t>Almost no impact. Revenue only 15% of weight. Model works at near-full power.</t>
  </si>
  <si>
    <t>Revenue minimal (10%). Fairness overwhelms.</t>
  </si>
  <si>
    <t>No meaningful impact. Revenue only 10% of weight. Model works at full power.</t>
  </si>
  <si>
    <t>Example: Scenario 1 with all revenue data missing</t>
  </si>
  <si>
    <t>If none of the 3 groups declared access program, all score Revenue = 50. The ranking does not change:</t>
  </si>
  <si>
    <t>Revenue (all 50)</t>
  </si>
  <si>
    <t>Change?</t>
  </si>
  <si>
    <t>50 x 0.25 = 12.5</t>
  </si>
  <si>
    <t>100 x 0.25 = 25.0</t>
  </si>
  <si>
    <t>18 x 0.30 = 5.4</t>
  </si>
  <si>
    <t>80 x 0.20 = 16.0</t>
  </si>
  <si>
    <t>Still #1</t>
  </si>
  <si>
    <t>67 x 0.25 = 16.8</t>
  </si>
  <si>
    <t>12 x 0.30 = 3.6</t>
  </si>
  <si>
    <t>45 x 0.20 = 9.0</t>
  </si>
  <si>
    <t>Still #2</t>
  </si>
  <si>
    <t>37 x 0.25 = 9.3</t>
  </si>
  <si>
    <t>6 x 0.30 = 1.8</t>
  </si>
  <si>
    <t>0 x 0.20 = 0.0</t>
  </si>
  <si>
    <t>Still #3</t>
  </si>
  <si>
    <t>Capacity and Urgency produce a 35-point gap between A and C even without any revenue data. The model is robust from day one.</t>
  </si>
  <si>
    <t>Revenue data coverage improves over time</t>
  </si>
  <si>
    <t>Each entry where access program is known adds precision to the Revenue dimension. There is no cliff where the model fails, only a gradient of increasing accuracy. Revenue Focus mode gains power as data coverage grows.</t>
  </si>
  <si>
    <r>
      <t>Phase</t>
    </r>
    <r>
      <rPr>
        <sz val="11"/>
        <rFont val="Calibri"/>
        <family val="2"/>
      </rPr>
      <t> </t>
    </r>
  </si>
  <si>
    <r>
      <t>Variables available</t>
    </r>
    <r>
      <rPr>
        <sz val="11"/>
        <rFont val="Calibri"/>
        <family val="2"/>
      </rPr>
      <t> </t>
    </r>
  </si>
  <si>
    <r>
      <t>Revenue approach</t>
    </r>
    <r>
      <rPr>
        <sz val="11"/>
        <rFont val="Calibri"/>
        <family val="2"/>
      </rPr>
      <t> </t>
    </r>
  </si>
  <si>
    <r>
      <t>Scoring capability</t>
    </r>
    <r>
      <rPr>
        <sz val="11"/>
        <rFont val="Calibri"/>
        <family val="2"/>
      </rPr>
      <t> </t>
    </r>
  </si>
  <si>
    <r>
      <t>Phase 2 (launch)</t>
    </r>
    <r>
      <rPr>
        <sz val="11"/>
        <rFont val="Calibri"/>
        <family val="2"/>
      </rPr>
      <t> </t>
    </r>
  </si>
  <si>
    <t>#1–14 (Tier 1 + Tier 2 via Flight API), #15–18 (benefit card fees when access program known), #23–25, #27–28, #37–38 </t>
  </si>
  <si>
    <r>
      <t>Tier 3A — Benefit card fees.</t>
    </r>
    <r>
      <rPr>
        <sz val="11"/>
        <rFont val="Calibri"/>
        <family val="2"/>
      </rPr>
      <t> Staff adds access program → benefit card fee lookup </t>
    </r>
  </si>
  <si>
    <t>Full Fairness + full Urgency + full Capacity. Revenue via benefit card when access program is known. Strong suggestions out of the box </t>
  </si>
  <si>
    <r>
      <t>Phase 2 (growing)</t>
    </r>
    <r>
      <rPr>
        <sz val="11"/>
        <rFont val="Calibri"/>
        <family val="2"/>
      </rPr>
      <t> </t>
    </r>
  </si>
  <si>
    <t>+ #19–22 (deal pipeline via DMC scan and self-serve membership ID input), #26 (pre-bookings) </t>
  </si>
  <si>
    <r>
      <t>Tier 3A + 3B coexist.</t>
    </r>
    <r>
      <rPr>
        <sz val="11"/>
        <rFont val="Calibri"/>
        <family val="2"/>
      </rPr>
      <t> Entries with membership ID get deal-based accuracy; others use benefit card </t>
    </r>
  </si>
  <si>
    <t>Deal-based Revenue for entries with membership ID. Benefit card fallback for the rest. Better Capacity with pre-booking awareness </t>
  </si>
  <si>
    <r>
      <t>Phase 2–3 (mature)</t>
    </r>
    <r>
      <rPr>
        <sz val="11"/>
        <rFont val="Calibri"/>
        <family val="2"/>
      </rPr>
      <t> </t>
    </r>
  </si>
  <si>
    <t>+ #19–22 at higher coverage (app auto-ID: PP, LoungeKey, MCAE) </t>
  </si>
  <si>
    <r>
      <t>Tier 3B dominant.</t>
    </r>
    <r>
      <rPr>
        <sz val="11"/>
        <rFont val="Calibri"/>
        <family val="2"/>
      </rPr>
      <t> Majority of entries have membership ID via app auto-identification </t>
    </r>
  </si>
  <si>
    <t>Deal-based Revenue for most entries. Benefit card only for edge cases without membership ID </t>
  </si>
  <si>
    <r>
      <t>Phase 3</t>
    </r>
    <r>
      <rPr>
        <sz val="11"/>
        <rFont val="Calibri"/>
        <family val="2"/>
      </rPr>
      <t> </t>
    </r>
  </si>
  <si>
    <t>+ #14, #29–36 </t>
  </si>
  <si>
    <t>— </t>
  </si>
  <si>
    <t>Phase 4</t>
  </si>
  <si>
    <r>
      <t>Dimension</t>
    </r>
    <r>
      <rPr>
        <sz val="11"/>
        <rFont val="Calibri"/>
        <family val="2"/>
      </rPr>
      <t> </t>
    </r>
  </si>
  <si>
    <r>
      <t>Core variables (always available at launch)</t>
    </r>
    <r>
      <rPr>
        <sz val="11"/>
        <rFont val="Calibri"/>
        <family val="2"/>
      </rPr>
      <t> </t>
    </r>
  </si>
  <si>
    <r>
      <t>Enhanced variables (when conditions are met)</t>
    </r>
    <r>
      <rPr>
        <sz val="11"/>
        <rFont val="Calibri"/>
        <family val="2"/>
      </rPr>
      <t> </t>
    </r>
  </si>
  <si>
    <r>
      <t>Future variables (Phase 3+)</t>
    </r>
    <r>
      <rPr>
        <sz val="11"/>
        <rFont val="Calibri"/>
        <family val="2"/>
      </rPr>
      <t> </t>
    </r>
  </si>
  <si>
    <r>
      <t>Revenue</t>
    </r>
    <r>
      <rPr>
        <sz val="11"/>
        <rFont val="Calibri"/>
        <family val="2"/>
      </rPr>
      <t> </t>
    </r>
  </si>
  <si>
    <t>Party size (#3), Airline (#13) </t>
  </si>
  <si>
    <r>
      <t>Tier 3A:</t>
    </r>
    <r>
      <rPr>
        <sz val="11"/>
        <rFont val="Calibri"/>
        <family val="2"/>
      </rPr>
      <t> Access program (#15) → Value/pp (#16), Guest fee (#17), Group value (#18). </t>
    </r>
    <r>
      <rPr>
        <b/>
        <sz val="11"/>
        <rFont val="Calibri"/>
        <family val="2"/>
      </rPr>
      <t>Tier 3B:</t>
    </r>
    <r>
      <rPr>
        <sz val="11"/>
        <rFont val="Calibri"/>
        <family val="2"/>
      </rPr>
      <t> Membership ID (#19) → Deal ID (#20) → Visit cost (#21), Guest cost (#22) → Group value (#18) </t>
    </r>
  </si>
  <si>
    <t>External deal fee (#29), App auto-ID (#31) </t>
  </si>
  <si>
    <r>
      <t>Capacity</t>
    </r>
    <r>
      <rPr>
        <sz val="11"/>
        <rFont val="Calibri"/>
        <family val="2"/>
      </rPr>
      <t> </t>
    </r>
  </si>
  <si>
    <t>Party size (#3), Occupancy (#23–25), Est. stay (#10), Seat-minutes (#11) </t>
  </si>
  <si>
    <t>Pre-bookings (#26), Arrival status (#28) </t>
  </si>
  <si>
    <t>Gate distance (#14) </t>
  </si>
  <si>
    <r>
      <t>Fairness</t>
    </r>
    <r>
      <rPr>
        <sz val="11"/>
        <rFont val="Calibri"/>
        <family val="2"/>
      </rPr>
      <t> </t>
    </r>
  </si>
  <si>
    <t>Wait time (#1), Join timestamp (#2), Skips count (#6) </t>
  </si>
  <si>
    <t>Recall attempts (#37) </t>
  </si>
  <si>
    <t>Program-tier rules (#30), Visit history (#32) </t>
  </si>
  <si>
    <r>
      <t>Urgency</t>
    </r>
    <r>
      <rPr>
        <sz val="11"/>
        <rFont val="Calibri"/>
        <family val="2"/>
      </rPr>
      <t> </t>
    </r>
  </si>
  <si>
    <t>Departure time (#8), Time to departure (#9), Flight status (#12) </t>
  </si>
  <si>
    <t>Gate distance (#14), Boarding status (via #12 granularity) </t>
  </si>
  <si>
    <r>
      <t>ETA</t>
    </r>
    <r>
      <rPr>
        <sz val="11"/>
        <rFont val="Calibri"/>
        <family val="2"/>
      </rPr>
      <t> </t>
    </r>
  </si>
  <si>
    <t>Wait time (#1), Party size (#3), Throughput rate (#27), Departure time (#8), Est. stay (#10) </t>
  </si>
  <si>
    <t>Occupancy (#23–24), Pre-bookings (#26) </t>
  </si>
  <si>
    <t>Time-of-day (#33), Day-of-week (#34) </t>
  </si>
  <si>
    <t>Back End (Calculation)</t>
  </si>
  <si>
    <t>weight</t>
  </si>
  <si>
    <t>party size</t>
  </si>
  <si>
    <t>time waiting in the WL</t>
  </si>
  <si>
    <t>time to departure</t>
  </si>
  <si>
    <t>revenue</t>
  </si>
  <si>
    <t>urgency</t>
  </si>
  <si>
    <t>fairness</t>
  </si>
  <si>
    <t>Normalizar o dado para entrar na equação</t>
  </si>
  <si>
    <t>-&gt;</t>
  </si>
  <si>
    <t>PriorityScore=1(100)+20(90)</t>
  </si>
  <si>
    <t>PriorityScore=1(100)+0.20(80)</t>
  </si>
  <si>
    <t>PriorityScore=0.20(95)+0.20(80)+0.35(90)+0.25(85)</t>
  </si>
  <si>
    <r>
      <t>Source</t>
    </r>
    <r>
      <rPr>
        <sz val="11"/>
        <rFont val="Calibri"/>
        <family val="2"/>
      </rPr>
      <t> </t>
    </r>
  </si>
  <si>
    <r>
      <t>How</t>
    </r>
    <r>
      <rPr>
        <sz val="11"/>
        <rFont val="Calibri"/>
        <family val="2"/>
      </rPr>
      <t> </t>
    </r>
  </si>
  <si>
    <r>
      <t>Reliability</t>
    </r>
    <r>
      <rPr>
        <sz val="11"/>
        <rFont val="Calibri"/>
        <family val="2"/>
      </rPr>
      <t> </t>
    </r>
  </si>
  <si>
    <t>Self-service enrollment </t>
  </si>
  <si>
    <t>Passenger types their membership ID during waitlist registration </t>
  </si>
  <si>
    <t>Phase 2 </t>
  </si>
  <si>
    <t>Medium — depends on passenger accuracy and willingness </t>
  </si>
  <si>
    <t>DMC scan (staff add) </t>
  </si>
  <si>
    <t>Staff scans the Digital Membership Card (barcode/QR) at the desk </t>
  </si>
  <si>
    <t>High — automated read, no manual entry errors </t>
  </si>
  <si>
    <t>App auto-identification </t>
  </si>
  <si>
    <t>Priority Pass app, LoungeKey app, or MCAE app provides membership ID automatically </t>
  </si>
  <si>
    <t>Phase 2–3 </t>
  </si>
  <si>
    <t>Highest — zero friction, no input needed. Depends on app integration timeline (PPF: late 2026 per Marjorie) </t>
  </si>
  <si>
    <r>
      <t>Value in deal</t>
    </r>
    <r>
      <rPr>
        <sz val="11"/>
        <rFont val="Calibri"/>
        <family val="2"/>
      </rPr>
      <t> </t>
    </r>
  </si>
  <si>
    <r>
      <t>What it represents</t>
    </r>
    <r>
      <rPr>
        <sz val="11"/>
        <rFont val="Calibri"/>
        <family val="2"/>
      </rPr>
      <t> </t>
    </r>
  </si>
  <si>
    <r>
      <t>Shown to lounge?</t>
    </r>
    <r>
      <rPr>
        <sz val="11"/>
        <rFont val="Calibri"/>
        <family val="2"/>
      </rPr>
      <t> </t>
    </r>
  </si>
  <si>
    <r>
      <t>Used for prioritization?</t>
    </r>
    <r>
      <rPr>
        <sz val="11"/>
        <rFont val="Calibri"/>
        <family val="2"/>
      </rPr>
      <t> </t>
    </r>
  </si>
  <si>
    <t>Client payment to Collinson </t>
  </si>
  <si>
    <t>What the bank/card issuer pays Collinson per visit </t>
  </si>
  <si>
    <t>Never — Collinson's commercial margin </t>
  </si>
  <si>
    <t>No </t>
  </si>
  <si>
    <r>
      <t>Lounge visit cost</t>
    </r>
    <r>
      <rPr>
        <sz val="11"/>
        <rFont val="Calibri"/>
        <family val="2"/>
      </rPr>
      <t> </t>
    </r>
  </si>
  <si>
    <t>What Collinson pays the lounge partner per visit </t>
  </si>
  <si>
    <t>Yes — this is the lounge's revenue per visitor </t>
  </si>
  <si>
    <r>
      <rPr>
        <b/>
        <sz val="11"/>
        <color rgb="FF000000"/>
        <rFont val="Calibri"/>
        <family val="2"/>
      </rPr>
      <t>Yes — this is the value/pp signal</t>
    </r>
    <r>
      <rPr>
        <sz val="11"/>
        <color rgb="FF000000"/>
        <rFont val="Calibri"/>
        <family val="2"/>
      </rPr>
      <t> </t>
    </r>
  </si>
  <si>
    <r>
      <t>Score formula</t>
    </r>
    <r>
      <rPr>
        <sz val="16"/>
        <color rgb="FF000000"/>
        <rFont val="Calibri"/>
        <family val="2"/>
      </rPr>
      <t> </t>
    </r>
  </si>
  <si>
    <r>
      <t>Sub-score definitions</t>
    </r>
    <r>
      <rPr>
        <sz val="16"/>
        <color rgb="FF000000"/>
        <rFont val="Calibri"/>
        <family val="2"/>
      </rPr>
      <t> </t>
    </r>
  </si>
  <si>
    <r>
      <t>Optimization Modes</t>
    </r>
    <r>
      <rPr>
        <sz val="22"/>
        <color rgb="FF000000"/>
        <rFont val="Calibri"/>
        <family val="2"/>
      </rPr>
      <t> </t>
    </r>
  </si>
  <si>
    <r>
      <t>OptimizationScore = W1 × RevenueScore</t>
    </r>
    <r>
      <rPr>
        <sz val="11"/>
        <color rgb="FF000000"/>
        <rFont val="WordVisiCarriageReturn_MSFontSe"/>
        <charset val="1"/>
      </rPr>
      <t> </t>
    </r>
  </si>
  <si>
    <r>
      <t>Revenue Score</t>
    </r>
    <r>
      <rPr>
        <sz val="12"/>
        <color rgb="FF000000"/>
        <rFont val="Calibri"/>
        <family val="2"/>
      </rPr>
      <t> </t>
    </r>
  </si>
  <si>
    <r>
      <t>Balanced (Default)</t>
    </r>
    <r>
      <rPr>
        <sz val="16"/>
        <color rgb="FF000000"/>
        <rFont val="Calibri"/>
        <family val="2"/>
      </rPr>
      <t> </t>
    </r>
  </si>
  <si>
    <r>
      <t>                 + W2 × CapacityScore</t>
    </r>
    <r>
      <rPr>
        <sz val="11"/>
        <color rgb="FF000000"/>
        <rFont val="WordVisiCarriageReturn_MSFontSe"/>
        <charset val="1"/>
      </rPr>
      <t> </t>
    </r>
  </si>
  <si>
    <r>
      <t>TotalGroupValue = best_available_visit_cost × party_size</t>
    </r>
    <r>
      <rPr>
        <sz val="11"/>
        <color rgb="FF000000"/>
        <rFont val="WordVisiCarriageReturn_MSFontSe"/>
        <charset val="1"/>
      </rPr>
      <t> </t>
    </r>
  </si>
  <si>
    <t>Weights distributed to maintain fairness and operational stability. </t>
  </si>
  <si>
    <r>
      <t>                 + W3 × FairnessScore</t>
    </r>
    <r>
      <rPr>
        <sz val="11"/>
        <color rgb="FF000000"/>
        <rFont val="WordVisiCarriageReturn_MSFontSe"/>
        <charset val="1"/>
      </rPr>
      <t> </t>
    </r>
  </si>
  <si>
    <r>
      <t>                 (or: visit_cost_cardholder + (party_size − 1) × visit_cost_guest, when guest rate is known)</t>
    </r>
    <r>
      <rPr>
        <sz val="11"/>
        <color rgb="FF000000"/>
        <rFont val="WordVisiCarriageReturn_MSFontSe"/>
        <charset val="1"/>
      </rPr>
      <t> </t>
    </r>
  </si>
  <si>
    <r>
      <t>Dimension</t>
    </r>
    <r>
      <rPr>
        <sz val="11"/>
        <color rgb="FF000000"/>
        <rFont val="Calibri"/>
        <family val="2"/>
      </rPr>
      <t> </t>
    </r>
  </si>
  <si>
    <r>
      <t>Weight</t>
    </r>
    <r>
      <rPr>
        <sz val="11"/>
        <color rgb="FF000000"/>
        <rFont val="Calibri"/>
        <family val="2"/>
      </rPr>
      <t> </t>
    </r>
  </si>
  <si>
    <r>
      <t>Rationale</t>
    </r>
    <r>
      <rPr>
        <sz val="11"/>
        <color rgb="FF000000"/>
        <rFont val="Calibri"/>
        <family val="2"/>
      </rPr>
      <t> </t>
    </r>
  </si>
  <si>
    <r>
      <t>                 + W4 × UrgencyScore</t>
    </r>
    <r>
      <rPr>
        <sz val="11"/>
        <color rgb="FF000000"/>
        <rFont val="WordVisiCarriageReturn_MSFontSe"/>
        <charset val="1"/>
      </rPr>
      <t> </t>
    </r>
  </si>
  <si>
    <t> </t>
  </si>
  <si>
    <t>Revenue </t>
  </si>
  <si>
    <t>0.25 </t>
  </si>
  <si>
    <t>Commercial value considered but not dominant </t>
  </si>
  <si>
    <r>
      <t>Where best_available_visit_cost follows the waterfall:</t>
    </r>
    <r>
      <rPr>
        <sz val="11"/>
        <color rgb="FF000000"/>
        <rFont val="WordVisiCarriageReturn_MSFontSe"/>
        <charset val="1"/>
      </rPr>
      <t> </t>
    </r>
  </si>
  <si>
    <t>Capacity </t>
  </si>
  <si>
    <t>Throughput balanced with other goals </t>
  </si>
  <si>
    <r>
      <t>All sub-scores normalized to range </t>
    </r>
    <r>
      <rPr>
        <b/>
        <sz val="11"/>
        <color rgb="FF000000"/>
        <rFont val="Calibri"/>
        <family val="2"/>
      </rPr>
      <t>[0, 1]</t>
    </r>
    <r>
      <rPr>
        <sz val="11"/>
        <color rgb="FF000000"/>
        <rFont val="Calibri"/>
        <family val="2"/>
      </rPr>
      <t>. </t>
    </r>
  </si>
  <si>
    <r>
      <t> 1. Deal-based: lounge_visit_cost from Deal ID (Tier 3B)</t>
    </r>
    <r>
      <rPr>
        <sz val="11"/>
        <color rgb="FF000000"/>
        <rFont val="WordVisiCarriageReturn_MSFontSe"/>
        <charset val="1"/>
      </rPr>
      <t> </t>
    </r>
  </si>
  <si>
    <t>Fairness </t>
  </si>
  <si>
    <t>0.30 </t>
  </si>
  <si>
    <t>Slightly dominant — prevents starvation by default </t>
  </si>
  <si>
    <r>
      <t> 2. Benefit card: fee from benefit card lookup via access program (Tier 3A)</t>
    </r>
    <r>
      <rPr>
        <sz val="11"/>
        <color rgb="FF000000"/>
        <rFont val="WordVisiCarriageReturn_MSFontSe"/>
        <charset val="1"/>
      </rPr>
      <t> </t>
    </r>
  </si>
  <si>
    <t>Urgency </t>
  </si>
  <si>
    <t>0.20 </t>
  </si>
  <si>
    <t>Flight sensitivity always active </t>
  </si>
  <si>
    <r>
      <t> 3. Default: lounge.default_value_per_person</t>
    </r>
    <r>
      <rPr>
        <sz val="11"/>
        <color rgb="FF000000"/>
        <rFont val="WordVisiCarriageReturn_MSFontSe"/>
        <charset val="1"/>
      </rPr>
      <t> </t>
    </r>
  </si>
  <si>
    <r>
      <t>Revenue Focus</t>
    </r>
    <r>
      <rPr>
        <sz val="16"/>
        <color rgb="FF000000"/>
        <rFont val="Calibri"/>
        <family val="2"/>
      </rPr>
      <t> </t>
    </r>
  </si>
  <si>
    <r>
      <t> 4. Neutral: 0.5 (no revenue data)</t>
    </r>
    <r>
      <rPr>
        <sz val="11"/>
        <color rgb="FF000000"/>
        <rFont val="WordVisiCarriageReturn_MSFontSe"/>
        <charset val="1"/>
      </rPr>
      <t> </t>
    </r>
  </si>
  <si>
    <t>Weights adjusted toward commercial value. </t>
  </si>
  <si>
    <r>
      <t>RevenueScore = TotalGroupValue / max(TotalGroupValue) across all active entries</t>
    </r>
    <r>
      <rPr>
        <sz val="11"/>
        <color rgb="FF000000"/>
        <rFont val="WordVisiCarriageReturn_MSFontSe"/>
        <charset val="1"/>
      </rPr>
      <t> </t>
    </r>
  </si>
  <si>
    <t>0.45 </t>
  </si>
  <si>
    <t>Commercial value prioritized </t>
  </si>
  <si>
    <t>Throughput still considered </t>
  </si>
  <si>
    <r>
      <t>If all values are equal → return 1.0 for all entries</t>
    </r>
    <r>
      <rPr>
        <sz val="11"/>
        <color rgb="FF000000"/>
        <rFont val="WordVisiCarriageReturn_MSFontSe"/>
        <charset val="1"/>
      </rPr>
      <t> </t>
    </r>
  </si>
  <si>
    <t>0.15 </t>
  </si>
  <si>
    <t>Reduced but never zero </t>
  </si>
  <si>
    <r>
      <t>Capacity Score</t>
    </r>
    <r>
      <rPr>
        <sz val="12"/>
        <color rgb="FF000000"/>
        <rFont val="Calibri"/>
        <family val="2"/>
      </rPr>
      <t> </t>
    </r>
  </si>
  <si>
    <t>Flight sensitivity reduced but present </t>
  </si>
  <si>
    <r>
      <t>SeatMinutes = party_size × estimated_stay_minutes</t>
    </r>
    <r>
      <rPr>
        <sz val="11"/>
        <color rgb="FF000000"/>
        <rFont val="WordVisiCarriageReturn_MSFontSe"/>
        <charset val="1"/>
      </rPr>
      <t> </t>
    </r>
  </si>
  <si>
    <r>
      <t>Hard constraint:</t>
    </r>
    <r>
      <rPr>
        <sz val="11"/>
        <color rgb="FF000000"/>
        <rFont val="Calibri"/>
        <family val="2"/>
      </rPr>
      <t> Fairness weight must never drop below </t>
    </r>
    <r>
      <rPr>
        <b/>
        <sz val="11"/>
        <color rgb="FF000000"/>
        <rFont val="Calibri"/>
        <family val="2"/>
      </rPr>
      <t>0.10</t>
    </r>
    <r>
      <rPr>
        <sz val="11"/>
        <color rgb="FF000000"/>
        <rFont val="Calibri"/>
        <family val="2"/>
      </rPr>
      <t> in any mode. </t>
    </r>
  </si>
  <si>
    <r>
      <t>MaxSeatMinutes = max(SeatMinutes) across all active entries</t>
    </r>
    <r>
      <rPr>
        <sz val="11"/>
        <color rgb="FF000000"/>
        <rFont val="WordVisiCarriageReturn_MSFontSe"/>
        <charset val="1"/>
      </rPr>
      <t> </t>
    </r>
  </si>
  <si>
    <t xml:space="preserve"> Future modes </t>
  </si>
  <si>
    <r>
      <t>CapacityScore = 1 − (SeatMinutes / MaxSeatMinutes)</t>
    </r>
    <r>
      <rPr>
        <sz val="11"/>
        <color rgb="FF000000"/>
        <rFont val="WordVisiCarriageReturn_MSFontSe"/>
        <charset val="1"/>
      </rPr>
      <t> </t>
    </r>
  </si>
  <si>
    <r>
      <t>Mode</t>
    </r>
    <r>
      <rPr>
        <sz val="11"/>
        <color rgb="FF000000"/>
        <rFont val="Calibri"/>
        <family val="2"/>
      </rPr>
      <t> </t>
    </r>
  </si>
  <si>
    <r>
      <t>Use case</t>
    </r>
    <r>
      <rPr>
        <sz val="11"/>
        <color rgb="FF000000"/>
        <rFont val="Calibri"/>
        <family val="2"/>
      </rPr>
      <t> </t>
    </r>
  </si>
  <si>
    <r>
      <t>Weights (indicative)</t>
    </r>
    <r>
      <rPr>
        <sz val="11"/>
        <color rgb="FF000000"/>
        <rFont val="Calibri"/>
        <family val="2"/>
      </rPr>
      <t> </t>
    </r>
  </si>
  <si>
    <t>Efficiency Focus </t>
  </si>
  <si>
    <t>Peak-throughput periods (high occupancy, long queue) </t>
  </si>
  <si>
    <t>Revenue 0.15, Capacity 0.40, Fairness 0.20, Urgency 0.25 </t>
  </si>
  <si>
    <r>
      <t>If estimated_stay unknown → use lounge.default_stay_estimate</t>
    </r>
    <r>
      <rPr>
        <sz val="11"/>
        <color rgb="FF000000"/>
        <rFont val="WordVisiCarriageReturn_MSFontSe"/>
        <charset val="1"/>
      </rPr>
      <t> </t>
    </r>
  </si>
  <si>
    <t>Fairness First </t>
  </si>
  <si>
    <t>After complaint incidents or for lounges prioritizing experience </t>
  </si>
  <si>
    <t>Revenue 0.10, Capacity 0.20, Fairness 0.50, Urgency 0.20 </t>
  </si>
  <si>
    <r>
      <t>If SeatMinutes still unknown → assign 0.5 (neutral)</t>
    </r>
    <r>
      <rPr>
        <sz val="11"/>
        <color rgb="FF000000"/>
        <rFont val="WordVisiCarriageReturn_MSFontSe"/>
        <charset val="1"/>
      </rPr>
      <t> </t>
    </r>
  </si>
  <si>
    <t>Lower seat-minutes = higher score (better for throughput). </t>
  </si>
  <si>
    <r>
      <t>Fairness Score</t>
    </r>
    <r>
      <rPr>
        <sz val="12"/>
        <color rgb="FF000000"/>
        <rFont val="Calibri"/>
        <family val="2"/>
      </rPr>
      <t> </t>
    </r>
  </si>
  <si>
    <r>
      <t>FairnessScore = waiting_time_minutes / max(waiting_time_minutes) across all active entries</t>
    </r>
    <r>
      <rPr>
        <sz val="11"/>
        <color rgb="FF000000"/>
        <rFont val="WordVisiCarriageReturn_MSFontSe"/>
        <charset val="1"/>
      </rPr>
      <t> </t>
    </r>
  </si>
  <si>
    <r>
      <t>If all waiting times equal → return 1.0 for all entries</t>
    </r>
    <r>
      <rPr>
        <sz val="11"/>
        <color rgb="FF000000"/>
        <rFont val="WordVisiCarriageReturn_MSFontSe"/>
        <charset val="1"/>
      </rPr>
      <t> </t>
    </r>
  </si>
  <si>
    <t>Longest-waiting group always scores 1.0. Fairness is never excluded from weighting. </t>
  </si>
  <si>
    <r>
      <t>Urgency Score</t>
    </r>
    <r>
      <rPr>
        <sz val="12"/>
        <color rgb="FF000000"/>
        <rFont val="Calibri"/>
        <family val="2"/>
      </rPr>
      <t> </t>
    </r>
  </si>
  <si>
    <r>
      <t>TimeToDeparture = departure_time − current_time</t>
    </r>
    <r>
      <rPr>
        <sz val="11"/>
        <color rgb="FF000000"/>
        <rFont val="WordVisiCarriageReturn_MSFontSe"/>
        <charset val="1"/>
      </rPr>
      <t> </t>
    </r>
  </si>
  <si>
    <r>
      <t>MaxTimeToDeparture = max(TimeToDeparture) across all active entries</t>
    </r>
    <r>
      <rPr>
        <sz val="11"/>
        <color rgb="FF000000"/>
        <rFont val="WordVisiCarriageReturn_MSFontSe"/>
        <charset val="1"/>
      </rPr>
      <t> </t>
    </r>
  </si>
  <si>
    <r>
      <t>UrgencyScore = 1 − (TimeToDeparture / MaxTimeToDeparture)</t>
    </r>
    <r>
      <rPr>
        <sz val="11"/>
        <color rgb="FF000000"/>
        <rFont val="WordVisiCarriageReturn_MSFontSe"/>
        <charset val="1"/>
      </rPr>
      <t> </t>
    </r>
  </si>
  <si>
    <r>
      <t>If flight data missing → assign 0.5 (neutral)</t>
    </r>
    <r>
      <rPr>
        <sz val="11"/>
        <color rgb="FF000000"/>
        <rFont val="WordVisiCarriageReturn_MSFontSe"/>
        <charset val="1"/>
      </rPr>
      <t> </t>
    </r>
  </si>
  <si>
    <r>
      <t>If departure_time is in the past → cap at 1.0</t>
    </r>
    <r>
      <rPr>
        <sz val="11"/>
        <color rgb="FF000000"/>
        <rFont val="WordVisiCarriageReturn_MSFontSe"/>
        <charset val="1"/>
      </rPr>
      <t> </t>
    </r>
  </si>
  <si>
    <t>Closest departure = highest urgency. </t>
  </si>
  <si>
    <r>
      <t>Criterion</t>
    </r>
    <r>
      <rPr>
        <sz val="11"/>
        <color rgb="FF000000"/>
        <rFont val="Calibri"/>
        <family val="2"/>
      </rPr>
      <t> </t>
    </r>
  </si>
  <si>
    <r>
      <t>Option A (Composite)</t>
    </r>
    <r>
      <rPr>
        <sz val="11"/>
        <color rgb="FF000000"/>
        <rFont val="Calibri"/>
        <family val="2"/>
      </rPr>
      <t> </t>
    </r>
  </si>
  <si>
    <r>
      <t>Option B (Independent)</t>
    </r>
    <r>
      <rPr>
        <sz val="11"/>
        <color rgb="FF000000"/>
        <rFont val="Calibri"/>
        <family val="2"/>
      </rPr>
      <t> </t>
    </r>
  </si>
  <si>
    <r>
      <t>Option A — Single Composite Score (Weighted Sum)</t>
    </r>
    <r>
      <rPr>
        <sz val="16"/>
        <color rgb="FF000000"/>
        <rFont val="Calibri"/>
        <family val="2"/>
      </rPr>
      <t> </t>
    </r>
  </si>
  <si>
    <r>
      <t>Option B — Independent Dimension Rankings (Merged)</t>
    </r>
    <r>
      <rPr>
        <sz val="16"/>
        <color rgb="FF000000"/>
        <rFont val="Calibri"/>
        <family val="2"/>
      </rPr>
      <t> </t>
    </r>
  </si>
  <si>
    <t>Implementation simplicity </t>
  </si>
  <si>
    <t>Simpler </t>
  </si>
  <si>
    <t>More complex (3 sorts + dedup) </t>
  </si>
  <si>
    <r>
      <t>How it works:</t>
    </r>
    <r>
      <rPr>
        <sz val="11"/>
        <color rgb="FF000000"/>
        <rFont val="Calibri"/>
        <family val="2"/>
      </rPr>
      <t> One algorithm computes a single OptimizationScore per entry using the weighted sum formula (Section 4). All entries are sorted by this score. Top 3 become the suggestions. </t>
    </r>
  </si>
  <si>
    <r>
      <t>How it works:</t>
    </r>
    <r>
      <rPr>
        <sz val="11"/>
        <color rgb="FF000000"/>
        <rFont val="Calibri"/>
        <family val="2"/>
      </rPr>
      <t> Each dimension runs its own sort independently. The top candidate from each dimension becomes a suggestion card. Deduplication ensures 3 distinct entries. </t>
    </r>
  </si>
  <si>
    <t>Prototype fidelity </t>
  </si>
  <si>
    <t>Matches single-ranked list </t>
  </si>
  <si>
    <t>Requires mapping dimensions to slots </t>
  </si>
  <si>
    <r>
      <t>For each active entry:</t>
    </r>
    <r>
      <rPr>
        <sz val="11"/>
        <color rgb="FF000000"/>
        <rFont val="WordVisiCarriageReturn_MSFontSe"/>
        <charset val="1"/>
      </rPr>
      <t> </t>
    </r>
  </si>
  <si>
    <r>
      <t>Revenue ranking:   sort by RevenueScore desc → top candidate = Suggestion A</t>
    </r>
    <r>
      <rPr>
        <sz val="11"/>
        <color rgb="FF000000"/>
        <rFont val="WordVisiCarriageReturn_MSFontSe"/>
        <charset val="1"/>
      </rPr>
      <t> </t>
    </r>
  </si>
  <si>
    <t>Dimensional diversity guarantee </t>
  </si>
  <si>
    <t>Not guaranteed </t>
  </si>
  <si>
    <t>Always 3 different lenses </t>
  </si>
  <si>
    <r>
      <t> score = W1×Revenue + W2×Capacity + W3×Fairness + W4×Urgency</t>
    </r>
    <r>
      <rPr>
        <sz val="11"/>
        <color rgb="FF000000"/>
        <rFont val="WordVisiCarriageReturn_MSFontSe"/>
        <charset val="1"/>
      </rPr>
      <t> </t>
    </r>
  </si>
  <si>
    <r>
      <t>Capacity ranking:  sort by CapacityScore desc → top candidate = Suggestion B</t>
    </r>
    <r>
      <rPr>
        <sz val="11"/>
        <color rgb="FF000000"/>
        <rFont val="WordVisiCarriageReturn_MSFontSe"/>
        <charset val="1"/>
      </rPr>
      <t> </t>
    </r>
  </si>
  <si>
    <t>Weight tuning difficulty </t>
  </si>
  <si>
    <t>Medium (careful balancing needed) </t>
  </si>
  <si>
    <t>Low (each dimension independent) </t>
  </si>
  <si>
    <r>
      <t>Fairness ranking:  sort by FairnessScore desc → top candidate = Suggestion C</t>
    </r>
    <r>
      <rPr>
        <sz val="11"/>
        <color rgb="FF000000"/>
        <rFont val="WordVisiCarriageReturn_MSFontSe"/>
        <charset val="1"/>
      </rPr>
      <t> </t>
    </r>
  </si>
  <si>
    <t>Future ML compatibility </t>
  </si>
  <si>
    <t>Single score → easy to train on </t>
  </si>
  <si>
    <t>Harder (3 separate models) </t>
  </si>
  <si>
    <r>
      <t>Sort all entries by score descending.</t>
    </r>
    <r>
      <rPr>
        <sz val="11"/>
        <color rgb="FF000000"/>
        <rFont val="WordVisiCarriageReturn_MSFontSe"/>
        <charset val="1"/>
      </rPr>
      <t> </t>
    </r>
  </si>
  <si>
    <t>Testability </t>
  </si>
  <si>
    <t>Single formula </t>
  </si>
  <si>
    <t>Each dimension isolated </t>
  </si>
  <si>
    <r>
      <t>Suggestions = top 3.</t>
    </r>
    <r>
      <rPr>
        <sz val="11"/>
        <color rgb="FF000000"/>
        <rFont val="WordVisiCarriageReturn_MSFontSe"/>
        <charset val="1"/>
      </rPr>
      <t> </t>
    </r>
  </si>
  <si>
    <r>
      <t>If any two dimensions produce the same top candidate:</t>
    </r>
    <r>
      <rPr>
        <sz val="11"/>
        <color rgb="FF000000"/>
        <rFont val="WordVisiCarriageReturn_MSFontSe"/>
        <charset val="1"/>
      </rPr>
      <t> </t>
    </r>
  </si>
  <si>
    <t>Mode toggle behavior </t>
  </si>
  <si>
    <t>Natural (change weights → re-sort) </t>
  </si>
  <si>
    <t>Less intuitive (change slot priority) </t>
  </si>
  <si>
    <r>
      <t> → Use the #2 candidate from the lower-priority dimension</t>
    </r>
    <r>
      <rPr>
        <sz val="11"/>
        <color rgb="FF000000"/>
        <rFont val="WordVisiCarriageReturn_MSFontSe"/>
        <charset val="1"/>
      </rPr>
      <t> </t>
    </r>
  </si>
  <si>
    <t>Either works. Option A is simpler to ship and iterate.</t>
  </si>
  <si>
    <t>Option B guarantees diverse perspectives.</t>
  </si>
  <si>
    <r>
      <t>Pros:</t>
    </r>
    <r>
      <rPr>
        <sz val="11"/>
        <color rgb="FF000000"/>
        <rFont val="Calibri"/>
        <family val="2"/>
      </rPr>
      <t> </t>
    </r>
  </si>
  <si>
    <t>Single, deterministic ranking — no deduplication needed </t>
  </si>
  <si>
    <r>
      <t>Mode toggle controls which dimension fills Suggestion #1 vs #2 vs #3.</t>
    </r>
    <r>
      <rPr>
        <sz val="11"/>
        <color rgb="FF000000"/>
        <rFont val="WordVisiCarriageReturn_MSFontSe"/>
        <charset val="1"/>
      </rPr>
      <t> </t>
    </r>
  </si>
  <si>
    <t>A hybrid is possible: use Option A as default, but if the Fairness Alert triggers and the fairest group is NOT in top 3, force-inject it as Suggestion #3 (ensuring the fairness lens is always visible when it matters). </t>
  </si>
  <si>
    <t>Mode toggle directly changes weights → immediate re-sort </t>
  </si>
  <si>
    <t>Simpler to implement, test, and explain </t>
  </si>
  <si>
    <t>Score components can still generate reasoning labels (dominant factor = label) </t>
  </si>
  <si>
    <t>Guarantees dimensional diversity — staff always sees the best candidate from each lens </t>
  </si>
  <si>
    <t>More faithful to the prototype, which shows a single ordered list #1/#2/#3 </t>
  </si>
  <si>
    <t>Each dimension's logic is independently testable and tunable </t>
  </si>
  <si>
    <r>
      <t>Cons:</t>
    </r>
    <r>
      <rPr>
        <sz val="11"/>
        <color rgb="FF000000"/>
        <rFont val="Calibri"/>
        <family val="2"/>
      </rPr>
      <t> </t>
    </r>
  </si>
  <si>
    <t>No risk of one dimension drowning out another </t>
  </si>
  <si>
    <t>A dimension can be "drowned out" if its weight is low — e.g., the fairest group may never appear if revenue and capacity dominate </t>
  </si>
  <si>
    <t>Aligns with Rafael's original suggestion: "We can have one for revenue, one for efficiency, one for fairness, and present the options separately" </t>
  </si>
  <si>
    <t>Harder to guarantee diverse suggestions (all 3 could optimize the same profile) </t>
  </si>
  <si>
    <t>Tuning weights requires careful balancing to avoid collapse into one dimension </t>
  </si>
  <si>
    <t>Requires deduplication logic (same entry could rank #1 in multiple dimensions) </t>
  </si>
  <si>
    <r>
      <t>Reasoning label generation:</t>
    </r>
    <r>
      <rPr>
        <sz val="11"/>
        <color rgb="FF000000"/>
        <rFont val="Calibri"/>
        <family val="2"/>
      </rPr>
      <t> Based on which sub-score contributes most to the entry's total: </t>
    </r>
  </si>
  <si>
    <t>Mode toggle is less intuitive — changes slot assignment rather than weight distribution </t>
  </si>
  <si>
    <t>If RevenueScore is the dominant component → "High commercial value" </t>
  </si>
  <si>
    <t>Harder to produce a clear "overall best" recommendation </t>
  </si>
  <si>
    <t>If CapacityScore dominant → "High turnover + low seat impact" </t>
  </si>
  <si>
    <t>Three separate algorithms to maintain instead of one parameterized algorithm </t>
  </si>
  <si>
    <t>If FairnessScore dominant → "Longest waiting group" </t>
  </si>
  <si>
    <r>
      <t>Reasoning label generation:</t>
    </r>
    <r>
      <rPr>
        <sz val="11"/>
        <color rgb="FF000000"/>
        <rFont val="Calibri"/>
        <family val="2"/>
      </rPr>
      <t> Each card is inherently labeled by its dimension: </t>
    </r>
  </si>
  <si>
    <t>If UrgencyScore dominant → "Flight departure approaching" </t>
  </si>
  <si>
    <t>Suggestion #1 (Revenue dimension): "Highest commercial value group" </t>
  </si>
  <si>
    <t>Multiple dominant factors combine: "High commercial value + balanced capacity profile" </t>
  </si>
  <si>
    <t>Suggestion #2 (Capacity dimension): "Best throughput opportunity" </t>
  </si>
  <si>
    <t>Suggestion #3 (Fairness dimension): "Longest waiting group" </t>
  </si>
  <si>
    <r>
      <t>#</t>
    </r>
    <r>
      <rPr>
        <sz val="10"/>
        <rFont val="Calibri"/>
        <family val="2"/>
      </rPr>
      <t> </t>
    </r>
  </si>
  <si>
    <r>
      <t>Variable</t>
    </r>
    <r>
      <rPr>
        <sz val="10"/>
        <rFont val="Calibri"/>
        <family val="2"/>
      </rPr>
      <t> </t>
    </r>
  </si>
  <si>
    <r>
      <t>Dimension(s)</t>
    </r>
    <r>
      <rPr>
        <sz val="10"/>
        <rFont val="Calibri"/>
        <family val="2"/>
      </rPr>
      <t> </t>
    </r>
  </si>
  <si>
    <r>
      <t>Source</t>
    </r>
    <r>
      <rPr>
        <sz val="10"/>
        <rFont val="Calibri"/>
        <family val="2"/>
      </rPr>
      <t> </t>
    </r>
  </si>
  <si>
    <r>
      <rPr>
        <b/>
        <sz val="10"/>
        <color rgb="FF000000"/>
        <rFont val="Calibri"/>
        <family val="2"/>
      </rPr>
      <t>WL Phase</t>
    </r>
    <r>
      <rPr>
        <sz val="10"/>
        <color rgb="FF000000"/>
        <rFont val="Calibri"/>
        <family val="2"/>
      </rPr>
      <t> </t>
    </r>
  </si>
  <si>
    <r>
      <t>Dependency</t>
    </r>
    <r>
      <rPr>
        <sz val="10"/>
        <rFont val="Calibri"/>
        <family val="2"/>
      </rPr>
      <t> </t>
    </r>
  </si>
  <si>
    <r>
      <t>Available?</t>
    </r>
    <r>
      <rPr>
        <sz val="10"/>
        <rFont val="Calibri"/>
        <family val="2"/>
      </rPr>
      <t> </t>
    </r>
  </si>
  <si>
    <r>
      <t>Notes</t>
    </r>
    <r>
      <rPr>
        <sz val="10"/>
        <rFont val="Calibri"/>
        <family val="2"/>
      </rPr>
      <t> </t>
    </r>
  </si>
  <si>
    <t>1 </t>
  </si>
  <si>
    <r>
      <rPr>
        <b/>
        <sz val="10"/>
        <color rgb="FF000000"/>
        <rFont val="Calibri"/>
        <family val="2"/>
      </rPr>
      <t>Wait time (minutes elapsed)</t>
    </r>
    <r>
      <rPr>
        <sz val="10"/>
        <color rgb="FF000000"/>
        <rFont val="Calibri"/>
        <family val="2"/>
      </rPr>
      <t> </t>
    </r>
  </si>
  <si>
    <t>Fairness, ETA </t>
  </si>
  <si>
    <t>current_time − join_timestamp (derived) </t>
  </si>
  <si>
    <t>None </t>
  </si>
  <si>
    <t>Always available. Primary fairness signal. Longest-waiting entry always scores 1.0 on Fairness </t>
  </si>
  <si>
    <t>2 </t>
  </si>
  <si>
    <r>
      <t>Join timestamp</t>
    </r>
    <r>
      <rPr>
        <sz val="10"/>
        <rFont val="Calibri"/>
        <family val="2"/>
      </rPr>
      <t> </t>
    </r>
  </si>
  <si>
    <t>Waitlist entry creation time </t>
  </si>
  <si>
    <t>Source field for wait time. Also used as tiebreaker when wait times are equal (earlier join wins) </t>
  </si>
  <si>
    <t>3 </t>
  </si>
  <si>
    <r>
      <rPr>
        <b/>
        <sz val="10"/>
        <color rgb="FF000000"/>
        <rFont val="Calibri"/>
        <family val="2"/>
      </rPr>
      <t>Party size</t>
    </r>
    <r>
      <rPr>
        <sz val="10"/>
        <color rgb="FF000000"/>
        <rFont val="Calibri"/>
        <family val="2"/>
      </rPr>
      <t> </t>
    </r>
  </si>
  <si>
    <t>Revenue, Capacity, ETA </t>
  </si>
  <si>
    <t>Enrollment field (passenger or staff) </t>
  </si>
  <si>
    <t>Impacts every dimension: revenue multiplier, seat consumption, throughput, ETA queue weight. Phase 1 captures this as a single integer (not adults/children split — per Waitwhile learnings) </t>
  </si>
  <si>
    <t>4 </t>
  </si>
  <si>
    <r>
      <t>Enrollment source</t>
    </r>
    <r>
      <rPr>
        <sz val="10"/>
        <rFont val="Calibri"/>
        <family val="2"/>
      </rPr>
      <t> </t>
    </r>
  </si>
  <si>
    <t>Operational </t>
  </si>
  <si>
    <t>System-assigned: web / staff / qr </t>
  </si>
  <si>
    <t>Not scored directly. Context signal for staff. ~94% of entries are self-serve (web/QR) per 2023–2025 data. Staff-added entries may indicate VIP edge cases or accessibility needs </t>
  </si>
  <si>
    <t>5 </t>
  </si>
  <si>
    <r>
      <t>Entry status</t>
    </r>
    <r>
      <rPr>
        <sz val="10"/>
        <rFont val="Calibri"/>
        <family val="2"/>
      </rPr>
      <t> </t>
    </r>
  </si>
  <si>
    <t>Operational (filter) </t>
  </si>
  <si>
    <t>Waitlist state machine </t>
  </si>
  <si>
    <r>
      <rPr>
        <sz val="10"/>
        <color rgb="FF000000"/>
        <rFont val="Calibri"/>
        <family val="2"/>
      </rPr>
      <t>waiting, recalled, admitted, cancelled, expired. Used for </t>
    </r>
    <r>
      <rPr>
        <b/>
        <sz val="10"/>
        <color rgb="FF000000"/>
        <rFont val="Calibri"/>
        <family val="2"/>
      </rPr>
      <t>exclusion</t>
    </r>
    <r>
      <rPr>
        <sz val="10"/>
        <color rgb="FF000000"/>
        <rFont val="Calibri"/>
        <family val="2"/>
      </rPr>
      <t> from scoring, not as a scoring variable. Only waiting entries are scored </t>
    </r>
  </si>
  <si>
    <t>6 </t>
  </si>
  <si>
    <r>
      <t>Consecutive skips count</t>
    </r>
    <r>
      <rPr>
        <sz val="10"/>
        <rFont val="Calibri"/>
        <family val="2"/>
      </rPr>
      <t> </t>
    </r>
  </si>
  <si>
    <t>Derived: increments each time another entry is admitted while this one remains waiting </t>
  </si>
  <si>
    <t>Admission event tracking </t>
  </si>
  <si>
    <t>More precise starvation signal than raw wait time. A group waiting 60 min that was skipped 8 times is more "starved" than one waiting 60 min that was skipped once (queue was slow). Feeds Fairness Alert escalation </t>
  </si>
  <si>
    <t>7 </t>
  </si>
  <si>
    <r>
      <t>Re-enrollment flag</t>
    </r>
    <r>
      <rPr>
        <sz val="10"/>
        <rFont val="Calibri"/>
        <family val="2"/>
      </rPr>
      <t> </t>
    </r>
  </si>
  <si>
    <t>System flag: true if this entry was created via rejoin after cancellation (US-14) </t>
  </si>
  <si>
    <t>Rejoin flow (US-14) </t>
  </si>
  <si>
    <t>Not scored. Informational for staff. Re-enrolled entries start fresh (no restored position — per fairness principle). Staff may want to prioritize or deprioritize at their discretion </t>
  </si>
  <si>
    <t>8 </t>
  </si>
  <si>
    <r>
      <t>Flight departure time</t>
    </r>
    <r>
      <rPr>
        <sz val="10"/>
        <rFont val="Calibri"/>
        <family val="2"/>
      </rPr>
      <t> </t>
    </r>
  </si>
  <si>
    <t>Urgency, Capacity, ETA </t>
  </si>
  <si>
    <t>Flight API response (from enrolled flight number) </t>
  </si>
  <si>
    <t>Valid flight number entered by passenger </t>
  </si>
  <si>
    <t>Automatically populated via API. Key operational signal (validated by Mark Melody). Real-time updates — if the airline reschedules, our data reflects it </t>
  </si>
  <si>
    <t>9 </t>
  </si>
  <si>
    <r>
      <rPr>
        <b/>
        <sz val="10"/>
        <color rgb="FF000000"/>
        <rFont val="Calibri"/>
        <family val="2"/>
      </rPr>
      <t>Time to departure (minutes)</t>
    </r>
    <r>
      <rPr>
        <sz val="10"/>
        <color rgb="FF000000"/>
        <rFont val="Calibri"/>
        <family val="2"/>
      </rPr>
      <t> </t>
    </r>
  </si>
  <si>
    <t>Urgency, ETA </t>
  </si>
  <si>
    <t>departure_time − current_time (derived from #8) </t>
  </si>
  <si>
    <t>Flight departure time (#8) </t>
  </si>
  <si>
    <t>Core urgency signal. Closer departure = higher urgency. If departure is in the past → cap urgency at 1.0. Updates dynamically as time passes </t>
  </si>
  <si>
    <t>10 </t>
  </si>
  <si>
    <r>
      <rPr>
        <b/>
        <sz val="10"/>
        <color rgb="FF000000"/>
        <rFont val="Calibri"/>
        <family val="2"/>
      </rPr>
      <t>Estimated stay (minutes)</t>
    </r>
    <r>
      <rPr>
        <sz val="10"/>
        <color rgb="FF000000"/>
        <rFont val="Calibri"/>
        <family val="2"/>
      </rPr>
      <t> </t>
    </r>
  </si>
  <si>
    <t>Capacity, ETA </t>
  </si>
  <si>
    <t>min(max_stay_limit, time_to_departure − boarding_buffer) (derived) </t>
  </si>
  <si>
    <t>Core capacity signal. Shorter est. stay = faster turnover. Falls back to lounge.default_stay_estimate (e.g., 60 min) only when flight number is invalid/unrecognized </t>
  </si>
  <si>
    <t>11 </t>
  </si>
  <si>
    <r>
      <t>Seat-minutes</t>
    </r>
    <r>
      <rPr>
        <sz val="10"/>
        <rFont val="Calibri"/>
        <family val="2"/>
      </rPr>
      <t> </t>
    </r>
  </si>
  <si>
    <t>party_size × estimated_stay_minutes (derived from #3 × #10) </t>
  </si>
  <si>
    <t>Estimated stay (#10) </t>
  </si>
  <si>
    <t>Composite capacity metric. Lower = better for throughput. Group of 2 staying 30 min (60 seat-min) beats group of 5 staying 90 min (450 seat-min) </t>
  </si>
  <si>
    <t>12 </t>
  </si>
  <si>
    <r>
      <rPr>
        <b/>
        <sz val="10"/>
        <color rgb="FF000000"/>
        <rFont val="Calibri"/>
        <family val="2"/>
      </rPr>
      <t>Flight status</t>
    </r>
    <r>
      <rPr>
        <sz val="10"/>
        <color rgb="FF000000"/>
        <rFont val="Calibri"/>
        <family val="2"/>
      </rPr>
      <t> </t>
    </r>
  </si>
  <si>
    <t>Urgency, Operational (filter) </t>
  </si>
  <si>
    <t>Flight API response (real-time) </t>
  </si>
  <si>
    <t>Valid flight number </t>
  </si>
  <si>
    <t>On Time, Delayed, Boarding, Departed, Not Found. "Departed" → exclude from scoring. "Delayed" → reduces urgency (passenger may stay longer). "Boarding" → maximum urgency. Auto-updated via API — no staff action needed </t>
  </si>
  <si>
    <t>13 </t>
  </si>
  <si>
    <r>
      <t>Airline (IATA code)</t>
    </r>
    <r>
      <rPr>
        <sz val="10"/>
        <rFont val="Calibri"/>
        <family val="2"/>
      </rPr>
      <t> </t>
    </r>
  </si>
  <si>
    <t>Revenue (indirect) </t>
  </si>
  <si>
    <t>Flight API response (extracted from flight number) </t>
  </si>
  <si>
    <t>Automatically derived from the flight number prefix. Maps to airline-specific benefit cards for lounges with direct airline deals. Indirect revenue signal </t>
  </si>
  <si>
    <t>14 </t>
  </si>
  <si>
    <r>
      <t>Time to boarding gate</t>
    </r>
    <r>
      <rPr>
        <sz val="10"/>
        <rFont val="Calibri"/>
        <family val="2"/>
      </rPr>
      <t> </t>
    </r>
  </si>
  <si>
    <t>Urgency, Capacity </t>
  </si>
  <si>
    <t>Airport layout data + gate assignment from Flight API </t>
  </si>
  <si>
    <t>Airport gate map integration </t>
  </si>
  <si>
    <t>No</t>
  </si>
  <si>
    <t>Future: passengers with distant gates need more buffer time → shorter effective est. stay. Gate data is already available via Flight API, but airport layout mapping is not yet built </t>
  </si>
  <si>
    <t>15 </t>
  </si>
  <si>
    <r>
      <rPr>
        <b/>
        <sz val="10"/>
        <color rgb="FF000000"/>
        <rFont val="Calibri"/>
        <family val="2"/>
      </rPr>
      <t>Access program</t>
    </r>
    <r>
      <rPr>
        <sz val="10"/>
        <color rgb="FF000000"/>
        <rFont val="Calibri"/>
        <family val="2"/>
      </rPr>
      <t> </t>
    </r>
  </si>
  <si>
    <t>Passenger-declared (Phase 2+) or staff-added </t>
  </si>
  <si>
    <t>Enrollment field or staff action </t>
  </si>
  <si>
    <t>Yes but requires effort</t>
  </si>
  <si>
    <t>"Priority Pass", "LoungeKey", "American Express", "Day Pass", airline-specific, etc. Maps to benefit card. Phase 1 minimizes passenger fields (Marjorie: "less fields possible so they cannot complain"), so this is staff-populated only for now </t>
  </si>
  <si>
    <t>16 </t>
  </si>
  <si>
    <r>
      <rPr>
        <b/>
        <sz val="10"/>
        <color rgb="FF000000"/>
        <rFont val="Calibri"/>
        <family val="2"/>
      </rPr>
      <t>Value per person (value/pp)</t>
    </r>
    <r>
      <rPr>
        <sz val="10"/>
        <color rgb="FF000000"/>
        <rFont val="Calibri"/>
        <family val="2"/>
      </rPr>
      <t> </t>
    </r>
  </si>
  <si>
    <t>Benefit card fee lookup based on access program </t>
  </si>
  <si>
    <t>Access program (#15) + benefit card with fee populated </t>
  </si>
  <si>
    <r>
      <t>Primary revenue signal in this approach. Loriana confirmed: lounges </t>
    </r>
    <r>
      <rPr>
        <i/>
        <sz val="10"/>
        <rFont val="Calibri"/>
        <family val="2"/>
      </rPr>
      <t>can</t>
    </r>
    <r>
      <rPr>
        <sz val="10"/>
        <rFont val="Calibri"/>
        <family val="2"/>
      </rPr>
      <t> provide fees but usually </t>
    </r>
    <r>
      <rPr>
        <i/>
        <sz val="10"/>
        <rFont val="Calibri"/>
        <family val="2"/>
      </rPr>
      <t>don't</t>
    </r>
    <r>
      <rPr>
        <sz val="10"/>
        <rFont val="Calibri"/>
        <family val="2"/>
      </rPr>
      <t>. Falls back to lounge.default_value_per_person. If no default → neutral (0.5) </t>
    </r>
  </si>
  <si>
    <t>17 </t>
  </si>
  <si>
    <r>
      <t>Guest fee (companion rate)</t>
    </r>
    <r>
      <rPr>
        <sz val="10"/>
        <rFont val="Calibri"/>
        <family val="2"/>
      </rPr>
      <t> </t>
    </r>
  </si>
  <si>
    <t>Benefit card guest fee field </t>
  </si>
  <si>
    <t>Access program (#15) + benefit card </t>
  </si>
  <si>
    <t>Some programs charge different rates for cardholder vs. guests. If cardholder pays $28 but guests pay $24 each → group of 4 = $28 + (3 × $24) = $100, not $28 × 4 = $112. More accurate group value when available </t>
  </si>
  <si>
    <t>18 </t>
  </si>
  <si>
    <r>
      <rPr>
        <b/>
        <sz val="10"/>
        <color rgb="FF000000"/>
        <rFont val="Calibri"/>
        <family val="2"/>
      </rPr>
      <t>Total group value</t>
    </r>
    <r>
      <rPr>
        <sz val="10"/>
        <color rgb="FF000000"/>
        <rFont val="Calibri"/>
        <family val="2"/>
      </rPr>
      <t> </t>
    </r>
  </si>
  <si>
    <t>value_pp_cardholder + (party_size − 1) × value_pp_guest (derived) </t>
  </si>
  <si>
    <t>Value/pp (#16 or #23) + guest fee (#17 or #24) + party size (#3) </t>
  </si>
  <si>
    <r>
      <t>Primary Revenue sort key. Uses the </t>
    </r>
    <r>
      <rPr>
        <b/>
        <sz val="10"/>
        <rFont val="Calibri"/>
        <family val="2"/>
      </rPr>
      <t>best available source</t>
    </r>
    <r>
      <rPr>
        <sz val="10"/>
        <rFont val="Calibri"/>
        <family val="2"/>
      </rPr>
      <t> (deal visit cost if available, otherwise benefit card fee, otherwise lounge default). Simplified to value/pp × party_size when guest rate is unknown. Prototype displays this as "Total: $96" on the suggestion card </t>
    </r>
  </si>
  <si>
    <t>19 </t>
  </si>
  <si>
    <r>
      <t>Membership ID</t>
    </r>
    <r>
      <rPr>
        <sz val="10"/>
        <rFont val="Calibri"/>
        <family val="2"/>
      </rPr>
      <t> </t>
    </r>
  </si>
  <si>
    <t>Revenue (key) </t>
  </si>
  <si>
    <t>Self-service input, DMC scan, or app auto-identification </t>
  </si>
  <si>
    <t>Phase 3 </t>
  </si>
  <si>
    <t>Enrollment field, DMC scanner, or app integration </t>
  </si>
  <si>
    <t>The key that unlocks the deal pipeline. Without it, system falls back to Tier 3A (benefit card fees). Three acquisition paths increase coverage progressively </t>
  </si>
  <si>
    <t>20 </t>
  </si>
  <si>
    <r>
      <t>Deal ID</t>
    </r>
    <r>
      <rPr>
        <sz val="10"/>
        <rFont val="Calibri"/>
        <family val="2"/>
      </rPr>
      <t> </t>
    </r>
  </si>
  <si>
    <t>System lookup from membership ID (Collinson backend) </t>
  </si>
  <si>
    <t>Membership ID (#19) </t>
  </si>
  <si>
    <t>Derived automatically when membership ID is known. Maps to the commercial agreement between Collinson and the card issuer/program partner. Already exists in Collinson's systems — no new data entry needed </t>
  </si>
  <si>
    <t>21 </t>
  </si>
  <si>
    <r>
      <t>Lounge visit cost (deal-based value/pp)</t>
    </r>
    <r>
      <rPr>
        <sz val="10"/>
        <rFont val="Calibri"/>
        <family val="2"/>
      </rPr>
      <t> </t>
    </r>
  </si>
  <si>
    <t>Deal record → lounge payout per visit </t>
  </si>
  <si>
    <t>Deal ID (#20) </t>
  </si>
  <si>
    <r>
      <t>Highest-accuracy revenue signal.</t>
    </r>
    <r>
      <rPr>
        <sz val="10"/>
        <rFont val="Calibri"/>
        <family val="2"/>
      </rPr>
      <t> What the lounge actually earns per visitor under this deal. Overrides benefit card fee (#16) when available. Different deals for the same program may have different visit costs </t>
    </r>
  </si>
  <si>
    <t>22 </t>
  </si>
  <si>
    <r>
      <t>Guest visit cost (deal-based companion rate)</t>
    </r>
    <r>
      <rPr>
        <sz val="10"/>
        <rFont val="Calibri"/>
        <family val="2"/>
      </rPr>
      <t> </t>
    </r>
  </si>
  <si>
    <t>Deal record → guest/companion payout per visit </t>
  </si>
  <si>
    <t>Deal-level companion rate. Overrides benefit card guest fee (#17) when available. If cardholder visit costs $32 but each guest costs $24 → group of 4 = $32 + (3 × $24) = $104 </t>
  </si>
  <si>
    <t>23 </t>
  </si>
  <si>
    <r>
      <rPr>
        <b/>
        <sz val="10"/>
        <color rgb="FF000000"/>
        <rFont val="Calibri"/>
        <family val="2"/>
      </rPr>
      <t>Current occupancy (headcount)</t>
    </r>
    <r>
      <rPr>
        <sz val="10"/>
        <color rgb="FF000000"/>
        <rFont val="Calibri"/>
        <family val="2"/>
      </rPr>
      <t> </t>
    </r>
  </si>
  <si>
    <t>LMS check-in count vs. lounge max capacity </t>
  </si>
  <si>
    <t>LMS capacity tracking </t>
  </si>
  <si>
    <t>Drives the Capacity indicator (Low/Medium/High) on suggestion cards. Also adjusts ETA (high occupancy → longer wait). Already tracked in LMS for existing visit management </t>
  </si>
  <si>
    <t>24 </t>
  </si>
  <si>
    <r>
      <rPr>
        <b/>
        <sz val="10"/>
        <color rgb="FF000000"/>
        <rFont val="Calibri"/>
        <family val="2"/>
      </rPr>
      <t>Occupancy percentage</t>
    </r>
    <r>
      <rPr>
        <sz val="10"/>
        <color rgb="FF000000"/>
        <rFont val="Calibri"/>
        <family val="2"/>
      </rPr>
      <t> </t>
    </r>
  </si>
  <si>
    <t>current_headcount / lounge_max_capacity (derived) </t>
  </si>
  <si>
    <t>Lounge max capacity configured </t>
  </si>
  <si>
    <t>More useful than raw headcount. Thresholds: Low (&lt;50%), Medium (50–80%), High (&gt;80%). Configurable per lounge </t>
  </si>
  <si>
    <t>25 </t>
  </si>
  <si>
    <r>
      <t>Available seats estimate</t>
    </r>
    <r>
      <rPr>
        <sz val="10"/>
        <rFont val="Calibri"/>
        <family val="2"/>
      </rPr>
      <t> </t>
    </r>
  </si>
  <si>
    <t>lounge_max_capacity − current_headcount (derived) </t>
  </si>
  <si>
    <t>Lounge max capacity </t>
  </si>
  <si>
    <t>Contextualizes party size: group of 4 when 2 seats available is different from group of 4 when 20 seats available </t>
  </si>
  <si>
    <t>26 </t>
  </si>
  <si>
    <r>
      <rPr>
        <b/>
        <sz val="10"/>
        <color rgb="FF000000"/>
        <rFont val="Calibri"/>
        <family val="2"/>
      </rPr>
      <t>Pre-bookings arriving in next N minutes</t>
    </r>
    <r>
      <rPr>
        <sz val="10"/>
        <color rgb="FF000000"/>
        <rFont val="Calibri"/>
        <family val="2"/>
      </rPr>
      <t> </t>
    </r>
  </si>
  <si>
    <t>Pre-booking system (count of bookings with arrival window overlapping next 30 min) </t>
  </si>
  <si>
    <t>Pre-booking system integration </t>
  </si>
  <si>
    <t>Reserves capacity mentally. If 3 pre-booked groups expected in 20 min, effective available seats are lower. Marjorie confirmed: "pre-booking should be another variable" </t>
  </si>
  <si>
    <t>27 </t>
  </si>
  <si>
    <r>
      <t>Recent throughput rate</t>
    </r>
    <r>
      <rPr>
        <sz val="10"/>
        <rFont val="Calibri"/>
        <family val="2"/>
      </rPr>
      <t> </t>
    </r>
  </si>
  <si>
    <t>ETA </t>
  </si>
  <si>
    <t>Count of entries admitted in last 60 min / 60 → entries/minute </t>
  </si>
  <si>
    <t>Admission event log </t>
  </si>
  <si>
    <t>Primary ETA signal in warm estimation. Needs at least eta_volume_threshold (default: 5) served entries to be reliable </t>
  </si>
  <si>
    <t>28 </t>
  </si>
  <si>
    <r>
      <t>Arrival status</t>
    </r>
    <r>
      <rPr>
        <sz val="10"/>
        <rFont val="Calibri"/>
        <family val="2"/>
      </rPr>
      <t> </t>
    </r>
  </si>
  <si>
    <t>Operational, Capacity (tiebreaker) </t>
  </si>
  <si>
    <t>Passenger self-reported or staff-set </t>
  </si>
  <si>
    <t>Arrival status feature </t>
  </si>
  <si>
    <t>"On my way", "I'm at the lounge", "Running late", null. Passengers already at the lounge ("I'm at the lounge") can be seated immediately → small capacity bonus as tiebreaker. "Running late" → may deprioritize slightly for efficiency </t>
  </si>
  <si>
    <t>29 </t>
  </si>
  <si>
    <r>
      <t>External deal fee (non-Collinson)</t>
    </r>
    <r>
      <rPr>
        <sz val="10"/>
        <rFont val="Calibri"/>
        <family val="2"/>
      </rPr>
      <t> </t>
    </r>
  </si>
  <si>
    <t>Lounge manually inputs fee for deals Collinson doesn't manage (e.g., lounge's direct contract with a local bank or Dragonpass) </t>
  </si>
  <si>
    <t>Lounge willingness to share </t>
  </si>
  <si>
    <t>Unlikely per Marjorie: "I don't think they will share because we will know how much money they make." Logic must work without this. Only viable for AD-managed lounges where Mark controls all deals </t>
  </si>
  <si>
    <t>30 </t>
  </si>
  <si>
    <r>
      <t>Program-tier priority rule</t>
    </r>
    <r>
      <rPr>
        <sz val="10"/>
        <rFont val="Calibri"/>
        <family val="2"/>
      </rPr>
      <t> </t>
    </r>
  </si>
  <si>
    <t>Fairness (enhanced) </t>
  </si>
  <si>
    <t>Admin-configured rules: e.g., "Priority Pass must not be deprioritized more than 3× consecutively" </t>
  </si>
  <si>
    <t>Access program known + admin rule engine </t>
  </si>
  <si>
    <t>Prevents structural deprioritization of specific programs. Orlando's perspective: "program-level prioritization plus limits, rules plus tolerances." Requires business rule definition per lounge </t>
  </si>
  <si>
    <t>31 </t>
  </si>
  <si>
    <r>
      <t>PPF / LoungeKey / MCAE app integration</t>
    </r>
    <r>
      <rPr>
        <sz val="10"/>
        <rFont val="Calibri"/>
        <family val="2"/>
      </rPr>
      <t> </t>
    </r>
  </si>
  <si>
    <t>Revenue (enabler for #19) </t>
  </si>
  <si>
    <t>App auto-identifies membership ID when passenger uses PP app, LoungeKey app, or MCAE app to join waitlist </t>
  </si>
  <si>
    <t>App integration per platform </t>
  </si>
  <si>
    <r>
      <t>Not a separate variable — this is an </t>
    </r>
    <r>
      <rPr>
        <b/>
        <sz val="10"/>
        <rFont val="Calibri"/>
        <family val="2"/>
      </rPr>
      <t>acquisition source for Membership ID (#19)</t>
    </r>
    <r>
      <rPr>
        <sz val="10"/>
        <rFont val="Calibri"/>
        <family val="2"/>
      </rPr>
      <t> that enables zero-friction deal-based revenue scoring. PPF timeline: late 2026 per Marjorie. Rafael: "If we have integration with the Priority Pass app, it would be worth thinking of that." Each app integration increases membership ID coverage </t>
    </r>
  </si>
  <si>
    <t>32 </t>
  </si>
  <si>
    <r>
      <t>Visit history (returning passenger)</t>
    </r>
    <r>
      <rPr>
        <sz val="10"/>
        <rFont val="Calibri"/>
        <family val="2"/>
      </rPr>
      <t> </t>
    </r>
  </si>
  <si>
    <t>Fairness (bonus), Operational </t>
  </si>
  <si>
    <t>CRM / loyalty data — has this passenger visited before? </t>
  </si>
  <si>
    <t>CRM integration or visit log matching </t>
  </si>
  <si>
    <t>Returning passengers could receive a small fairness bonus (loyalty recognition). Also useful for staff context: "This passenger has visited 3 times this month" </t>
  </si>
  <si>
    <t>33 </t>
  </si>
  <si>
    <r>
      <t>Historical avg wait by time-of-day</t>
    </r>
    <r>
      <rPr>
        <sz val="10"/>
        <rFont val="Calibri"/>
        <family val="2"/>
      </rPr>
      <t> </t>
    </r>
  </si>
  <si>
    <t>Analytics: average wait time segmented by hour-of-day at this lounge </t>
  </si>
  <si>
    <t>Sufficient historical data (weeks of operation) </t>
  </si>
  <si>
    <t>Improves ETA accuracy. 8 AM may have 10-min avg wait while 3 PM (departure wave) has 40-min avg. Enables time-of-day ETA adjustment </t>
  </si>
  <si>
    <t>34 </t>
  </si>
  <si>
    <r>
      <rPr>
        <b/>
        <sz val="10"/>
        <color rgb="FF000000"/>
        <rFont val="Calibri"/>
        <family val="2"/>
      </rPr>
      <t>Day-of-week pattern</t>
    </r>
    <r>
      <rPr>
        <sz val="10"/>
        <color rgb="FF000000"/>
        <rFont val="Calibri"/>
        <family val="2"/>
      </rPr>
      <t> </t>
    </r>
  </si>
  <si>
    <t>Analytics: weekday vs. weekend throughput patterns </t>
  </si>
  <si>
    <t>Historical data </t>
  </si>
  <si>
    <t>Friday afternoons may have higher throughput (more departures) than Tuesday mornings. Seasonal patterns also possible </t>
  </si>
  <si>
    <t>35 </t>
  </si>
  <si>
    <r>
      <t>Staff-added priority note</t>
    </r>
    <r>
      <rPr>
        <sz val="10"/>
        <rFont val="Calibri"/>
        <family val="2"/>
      </rPr>
      <t> </t>
    </r>
  </si>
  <si>
    <t>Free-text or tag added by staff: e.g., "wheelchair", "elderly", "VIP request" </t>
  </si>
  <si>
    <t>Staff UI field </t>
  </si>
  <si>
    <t>Not scored algorithmically. Visible to staff as context. Supports accessibility and hospitality-driven overrides without system automation </t>
  </si>
  <si>
    <t>36 </t>
  </si>
  <si>
    <r>
      <t>Companion entries (linked groups)</t>
    </r>
    <r>
      <rPr>
        <sz val="10"/>
        <rFont val="Calibri"/>
        <family val="2"/>
      </rPr>
      <t> </t>
    </r>
  </si>
  <si>
    <t>System linkage: two entries that should be called together (e.g., family split across entries) </t>
  </si>
  <si>
    <t>Entry linking feature </t>
  </si>
  <si>
    <t>Operational convenience. When one linked entry is called, the other is highlighted. Not scored, but affects when staff should call </t>
  </si>
  <si>
    <t>37 </t>
  </si>
  <si>
    <r>
      <t>Recall attempts count</t>
    </r>
    <r>
      <rPr>
        <sz val="10"/>
        <rFont val="Calibri"/>
        <family val="2"/>
      </rPr>
      <t> </t>
    </r>
  </si>
  <si>
    <t>Operational, Fairness (signal) </t>
  </si>
  <si>
    <t>Count of "It's your turn" notifications sent to this entry </t>
  </si>
  <si>
    <t>Notification log </t>
  </si>
  <si>
    <t>Multiple recalls without admission may indicate a non-responsive passenger. Staff context signal. Could feed a "deprioritize after N unanswered recalls" rule in Phase 3 </t>
  </si>
  <si>
    <t>38 </t>
  </si>
  <si>
    <r>
      <t>Time since last notification</t>
    </r>
    <r>
      <rPr>
        <sz val="10"/>
        <rFont val="Calibri"/>
        <family val="2"/>
      </rPr>
      <t> </t>
    </r>
  </si>
  <si>
    <t>current_time − last_notification_timestamp (derived) </t>
  </si>
  <si>
    <t>Context for staff: "notified 47 min ago" (already shown in prototype table as "Notified" column). Passengers notified long ago without response may need re-engagement or removal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</si>
</sst>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1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1"/>
      <color rgb="FF000000"/>
      <name val="WordVisiCarriageReturn_MSFontSe"/>
      <charset val="1"/>
    </font>
    <font>
      <b/>
      <sz val="22"/>
      <color rgb="FF000000"/>
      <name val="Calibri"/>
      <family val="2"/>
    </font>
    <font>
      <sz val="2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rgb="FF2C3E50"/>
      <name val="Arial"/>
      <family val="2"/>
    </font>
    <font>
      <sz val="13"/>
      <color rgb="FF566573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6"/>
      <color rgb="FF2C3E50"/>
      <name val="Arial"/>
      <family val="2"/>
    </font>
    <font>
      <sz val="11"/>
      <color rgb="FF566573"/>
      <name val="Arial"/>
      <family val="2"/>
    </font>
    <font>
      <b/>
      <sz val="12"/>
      <color rgb="FF2C3E50"/>
      <name val="Arial"/>
      <family val="2"/>
    </font>
    <font>
      <b/>
      <sz val="11"/>
      <color rgb="FF2C3E50"/>
      <name val="Arial"/>
      <family val="2"/>
    </font>
    <font>
      <b/>
      <i/>
      <sz val="12"/>
      <color rgb="FF566573"/>
      <name val="Arial"/>
      <family val="2"/>
    </font>
    <font>
      <b/>
      <sz val="10"/>
      <color rgb="FF566573"/>
      <name val="Arial"/>
      <family val="2"/>
    </font>
    <font>
      <b/>
      <sz val="10"/>
      <color rgb="FF117A65"/>
      <name val="Arial"/>
      <family val="2"/>
    </font>
    <font>
      <i/>
      <sz val="10"/>
      <color rgb="FF566573"/>
      <name val="Arial"/>
      <family val="2"/>
    </font>
    <font>
      <b/>
      <sz val="13"/>
      <color rgb="FF1ABC9C"/>
      <name val="Arial"/>
      <family val="2"/>
    </font>
    <font>
      <b/>
      <sz val="13"/>
      <color rgb="FF2980B9"/>
      <name val="Arial"/>
      <family val="2"/>
    </font>
    <font>
      <b/>
      <sz val="13"/>
      <color rgb="FF6C3483"/>
      <name val="Arial"/>
      <family val="2"/>
    </font>
    <font>
      <b/>
      <sz val="13"/>
      <color rgb="FF922B21"/>
      <name val="Arial"/>
      <family val="2"/>
    </font>
    <font>
      <b/>
      <sz val="13"/>
      <color rgb="FFE67E22"/>
      <name val="Arial"/>
      <family val="2"/>
    </font>
    <font>
      <b/>
      <i/>
      <sz val="11"/>
      <color rgb="FF566573"/>
      <name val="Arial"/>
      <family val="2"/>
    </font>
    <font>
      <b/>
      <sz val="14"/>
      <color rgb="FF1B4F72"/>
      <name val="Arial"/>
      <family val="2"/>
    </font>
    <font>
      <b/>
      <sz val="12"/>
      <color rgb="FF1B4F72"/>
      <name val="Arial"/>
      <family val="2"/>
    </font>
    <font>
      <sz val="10"/>
      <color rgb="FF566573"/>
      <name val="Arial"/>
      <family val="2"/>
    </font>
    <font>
      <b/>
      <sz val="11"/>
      <color rgb="FF1B4F72"/>
      <name val="Arial"/>
      <family val="2"/>
    </font>
    <font>
      <b/>
      <sz val="14"/>
      <color rgb="FF1E8449"/>
      <name val="Arial"/>
      <family val="2"/>
    </font>
    <font>
      <b/>
      <sz val="12"/>
      <color rgb="FF1E8449"/>
      <name val="Arial"/>
      <family val="2"/>
    </font>
    <font>
      <b/>
      <sz val="14"/>
      <color rgb="FFB7950B"/>
      <name val="Arial"/>
      <family val="2"/>
    </font>
    <font>
      <b/>
      <sz val="12"/>
      <color rgb="FFB7950B"/>
      <name val="Arial"/>
      <family val="2"/>
    </font>
    <font>
      <b/>
      <sz val="14"/>
      <color rgb="FF922B21"/>
      <name val="Arial"/>
      <family val="2"/>
    </font>
    <font>
      <b/>
      <sz val="12"/>
      <color rgb="FF922B21"/>
      <name val="Arial"/>
      <family val="2"/>
    </font>
    <font>
      <b/>
      <sz val="14"/>
      <color rgb="FF2C3E50"/>
      <name val="Arial"/>
      <family val="2"/>
    </font>
    <font>
      <b/>
      <sz val="10"/>
      <color rgb="FF922B21"/>
      <name val="Arial"/>
      <family val="2"/>
    </font>
    <font>
      <sz val="11"/>
      <name val="Arial"/>
      <family val="2"/>
    </font>
    <font>
      <b/>
      <sz val="14"/>
      <color rgb="FFE74C3C"/>
      <name val="Arial"/>
      <family val="2"/>
    </font>
    <font>
      <b/>
      <i/>
      <sz val="11"/>
      <color rgb="FF2C3E50"/>
      <name val="Arial"/>
      <family val="2"/>
    </font>
    <font>
      <b/>
      <sz val="10"/>
      <color rgb="FF1E8449"/>
      <name val="Arial"/>
      <family val="2"/>
    </font>
    <font>
      <b/>
      <sz val="11"/>
      <name val="Arial"/>
      <family val="2"/>
    </font>
    <font>
      <b/>
      <sz val="10"/>
      <color rgb="FF2C3E50"/>
      <name val="Arial"/>
      <family val="2"/>
    </font>
    <font>
      <b/>
      <sz val="11"/>
      <color theme="1"/>
      <name val="Aptos Narrow"/>
    </font>
    <font>
      <sz val="11"/>
      <color theme="0"/>
      <name val="Aptos Narrow"/>
    </font>
    <font>
      <b/>
      <sz val="10"/>
      <name val="Arial"/>
    </font>
    <font>
      <b/>
      <sz val="11"/>
      <color rgb="FFFFFFFF"/>
      <name val="Calibri"/>
      <family val="2"/>
      <scheme val="minor"/>
    </font>
    <font>
      <b/>
      <sz val="11"/>
      <color rgb="FFFFFFFF"/>
      <name val="Aptos Narrow"/>
    </font>
    <font>
      <i/>
      <sz val="9"/>
      <color theme="1"/>
      <name val="Calibri"/>
      <family val="2"/>
      <scheme val="minor"/>
    </font>
    <font>
      <b/>
      <sz val="10"/>
      <color theme="1"/>
      <name val="Calibri"/>
    </font>
    <font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</font>
    <font>
      <sz val="10"/>
      <color rgb="FF2F5496"/>
      <name val="Calibri"/>
      <family val="2"/>
      <scheme val="minor"/>
    </font>
    <font>
      <sz val="20"/>
      <color rgb="FF2F5496"/>
      <name val="Calibri"/>
      <family val="2"/>
      <scheme val="minor"/>
    </font>
    <font>
      <b/>
      <sz val="11"/>
      <color rgb="FF2F549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</font>
    <font>
      <sz val="10"/>
      <color rgb="FF2F5496"/>
      <name val="Calibri"/>
    </font>
    <font>
      <sz val="10"/>
      <color rgb="FF000000"/>
      <name val="Calibri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2F5496"/>
      <name val="Aptos Narrow"/>
    </font>
    <font>
      <b/>
      <sz val="10"/>
      <color theme="1"/>
      <name val="Aptos Narrow"/>
    </font>
    <font>
      <sz val="10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4"/>
      <color rgb="FF2F5496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2C3E50"/>
      </patternFill>
    </fill>
    <fill>
      <patternFill patternType="solid">
        <fgColor rgb="FFFADBD8"/>
      </patternFill>
    </fill>
    <fill>
      <patternFill patternType="solid">
        <fgColor rgb="FFD6EAF8"/>
      </patternFill>
    </fill>
    <fill>
      <patternFill patternType="solid">
        <fgColor rgb="FFD5F5E6"/>
      </patternFill>
    </fill>
    <fill>
      <patternFill patternType="solid">
        <fgColor rgb="FFFEF9E7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D1F2EB"/>
      </patternFill>
    </fill>
    <fill>
      <patternFill patternType="solid">
        <fgColor rgb="FFE8DAEF"/>
      </patternFill>
    </fill>
    <fill>
      <patternFill patternType="solid">
        <fgColor rgb="FF1ABC9C"/>
      </patternFill>
    </fill>
    <fill>
      <patternFill patternType="solid">
        <fgColor rgb="FF2980B9"/>
      </patternFill>
    </fill>
    <fill>
      <patternFill patternType="solid">
        <fgColor rgb="FF6C3483"/>
      </patternFill>
    </fill>
    <fill>
      <patternFill patternType="solid">
        <fgColor rgb="FF1B4F72"/>
      </patternFill>
    </fill>
    <fill>
      <patternFill patternType="solid">
        <fgColor rgb="FF1E8449"/>
      </patternFill>
    </fill>
    <fill>
      <patternFill patternType="solid">
        <fgColor rgb="FFB7950B"/>
      </patternFill>
    </fill>
    <fill>
      <patternFill patternType="solid">
        <fgColor rgb="FF922B21"/>
      </patternFill>
    </fill>
    <fill>
      <patternFill patternType="solid">
        <fgColor rgb="FFFFFF00"/>
        <bgColor indexed="64"/>
      </patternFill>
    </fill>
    <fill>
      <patternFill patternType="solid">
        <fgColor rgb="FFE74C3C"/>
      </patternFill>
    </fill>
    <fill>
      <patternFill patternType="solid">
        <fgColor rgb="FFF39C12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D7DA"/>
        <bgColor indexed="64"/>
      </patternFill>
    </fill>
  </fills>
  <borders count="10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/>
      <top style="thin">
        <color rgb="FFD9D9D9"/>
      </top>
      <bottom style="thin">
        <color auto="1"/>
      </bottom>
      <diagonal/>
    </border>
    <border>
      <left/>
      <right style="thin">
        <color auto="1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rgb="FFD9D9D9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thin">
        <color auto="1"/>
      </top>
      <bottom/>
      <diagonal/>
    </border>
    <border>
      <left style="thin">
        <color rgb="FFD9D9D9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auto="1"/>
      </right>
      <top/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medium">
        <color rgb="FF2F549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F5496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medium">
        <color rgb="FF2F5496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medium">
        <color rgb="FF548235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medium">
        <color rgb="FF548235"/>
      </bottom>
      <diagonal/>
    </border>
    <border>
      <left style="thin">
        <color auto="1"/>
      </left>
      <right/>
      <top/>
      <bottom style="thin">
        <color rgb="FFD9D9D9"/>
      </bottom>
      <diagonal/>
    </border>
    <border>
      <left/>
      <right style="thin">
        <color auto="1"/>
      </right>
      <top/>
      <bottom style="thin">
        <color rgb="FFD9D9D9"/>
      </bottom>
      <diagonal/>
    </border>
    <border>
      <left style="thin">
        <color auto="1"/>
      </left>
      <right/>
      <top style="thin">
        <color rgb="FFD9D9D9"/>
      </top>
      <bottom style="medium">
        <color rgb="FF2F5496"/>
      </bottom>
      <diagonal/>
    </border>
    <border>
      <left/>
      <right style="thin">
        <color auto="1"/>
      </right>
      <top style="thin">
        <color rgb="FFD9D9D9"/>
      </top>
      <bottom style="medium">
        <color rgb="FF2F5496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000000"/>
      </top>
      <bottom/>
      <diagonal/>
    </border>
    <border>
      <left style="thin">
        <color rgb="FFD9D9D9"/>
      </left>
      <right style="thin">
        <color rgb="FFD9D9D9"/>
      </right>
      <top style="thin">
        <color rgb="FF000000"/>
      </top>
      <bottom/>
      <diagonal/>
    </border>
    <border>
      <left style="thin">
        <color rgb="FF000000"/>
      </left>
      <right style="thin">
        <color rgb="FFD9D9D9"/>
      </right>
      <top/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medium">
        <color rgb="FF2F5496"/>
      </bottom>
      <diagonal/>
    </border>
    <border>
      <left style="thin">
        <color rgb="FFD9D9D9"/>
      </left>
      <right/>
      <top style="thin">
        <color rgb="FF000000"/>
      </top>
      <bottom/>
      <diagonal/>
    </border>
    <border>
      <left style="thin">
        <color rgb="FFD9D9D9"/>
      </left>
      <right/>
      <top style="thin">
        <color rgb="FFD9D9D9"/>
      </top>
      <bottom style="medium">
        <color rgb="FF2F5496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000000"/>
      </top>
      <bottom/>
      <diagonal/>
    </border>
    <border>
      <left/>
      <right style="thin">
        <color rgb="FFD9D9D9"/>
      </right>
      <top style="thin">
        <color rgb="FFD9D9D9"/>
      </top>
      <bottom style="medium">
        <color rgb="FF2F5496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/>
      <right style="thin">
        <color rgb="FF000000"/>
      </right>
      <top style="thin">
        <color rgb="FF000000"/>
      </top>
      <bottom style="thin">
        <color rgb="FFD9D9D9"/>
      </bottom>
      <diagonal/>
    </border>
    <border>
      <left/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000000"/>
      </bottom>
      <diagonal/>
    </border>
    <border>
      <left/>
      <right style="thin">
        <color rgb="FF000000"/>
      </right>
      <top style="thin">
        <color rgb="FFD9D9D9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000000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000000"/>
      </top>
      <bottom style="thin">
        <color rgb="FFD9D9D9"/>
      </bottom>
      <diagonal/>
    </border>
    <border>
      <left/>
      <right style="thin">
        <color rgb="FFD9D9D9"/>
      </right>
      <top style="thin">
        <color rgb="FF000000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000000"/>
      </bottom>
      <diagonal/>
    </border>
  </borders>
  <cellStyleXfs count="1">
    <xf numFmtId="0" fontId="0" fillId="0" borderId="0"/>
  </cellStyleXfs>
  <cellXfs count="39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 applyAlignment="1">
      <alignment wrapText="1" readingOrder="1"/>
    </xf>
    <xf numFmtId="0" fontId="2" fillId="0" borderId="0" xfId="0" applyFont="1" applyAlignment="1">
      <alignment wrapText="1" readingOrder="1"/>
    </xf>
    <xf numFmtId="0" fontId="2" fillId="0" borderId="0" xfId="0" quotePrefix="1" applyFont="1" applyAlignment="1">
      <alignment wrapText="1" readingOrder="1"/>
    </xf>
    <xf numFmtId="0" fontId="5" fillId="0" borderId="0" xfId="0" applyFont="1" applyAlignment="1">
      <alignment wrapText="1" readingOrder="1"/>
    </xf>
    <xf numFmtId="0" fontId="6" fillId="0" borderId="0" xfId="0" applyFont="1" applyAlignment="1">
      <alignment wrapText="1" readingOrder="1"/>
    </xf>
    <xf numFmtId="0" fontId="7" fillId="0" borderId="0" xfId="0" applyFont="1" applyAlignment="1">
      <alignment wrapText="1" readingOrder="1"/>
    </xf>
    <xf numFmtId="0" fontId="1" fillId="0" borderId="0" xfId="0" applyFont="1" applyAlignment="1">
      <alignment wrapText="1"/>
    </xf>
    <xf numFmtId="0" fontId="9" fillId="0" borderId="0" xfId="0" applyFont="1" applyAlignment="1">
      <alignment wrapText="1" readingOrder="1"/>
    </xf>
    <xf numFmtId="0" fontId="6" fillId="0" borderId="0" xfId="0" applyFont="1" applyAlignment="1">
      <alignment vertical="top" wrapText="1" readingOrder="1"/>
    </xf>
    <xf numFmtId="0" fontId="7" fillId="0" borderId="0" xfId="0" applyFont="1" applyAlignment="1">
      <alignment vertical="top" wrapText="1" readingOrder="1"/>
    </xf>
    <xf numFmtId="0" fontId="1" fillId="0" borderId="0" xfId="0" applyFont="1" applyAlignment="1">
      <alignment vertical="top" wrapText="1"/>
    </xf>
    <xf numFmtId="0" fontId="10" fillId="0" borderId="0" xfId="0" applyFont="1" applyAlignment="1">
      <alignment vertical="top" wrapText="1" readingOrder="1"/>
    </xf>
    <xf numFmtId="0" fontId="11" fillId="2" borderId="0" xfId="0" applyFont="1" applyFill="1"/>
    <xf numFmtId="0" fontId="12" fillId="0" borderId="0" xfId="0" applyFont="1" applyAlignment="1">
      <alignment wrapText="1"/>
    </xf>
    <xf numFmtId="0" fontId="11" fillId="2" borderId="0" xfId="0" applyFont="1" applyFill="1" applyAlignment="1">
      <alignment wrapText="1"/>
    </xf>
    <xf numFmtId="0" fontId="11" fillId="0" borderId="0" xfId="0" applyFont="1"/>
    <xf numFmtId="0" fontId="14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15" fillId="0" borderId="0" xfId="0" applyFont="1" applyAlignment="1">
      <alignment wrapText="1"/>
    </xf>
    <xf numFmtId="0" fontId="11" fillId="0" borderId="3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17" fillId="0" borderId="10" xfId="0" applyFont="1" applyBorder="1" applyAlignment="1">
      <alignment wrapText="1"/>
    </xf>
    <xf numFmtId="0" fontId="14" fillId="0" borderId="11" xfId="0" applyFont="1" applyBorder="1" applyAlignment="1">
      <alignment wrapText="1"/>
    </xf>
    <xf numFmtId="0" fontId="17" fillId="0" borderId="11" xfId="0" applyFont="1" applyBorder="1" applyAlignment="1">
      <alignment wrapText="1"/>
    </xf>
    <xf numFmtId="0" fontId="7" fillId="3" borderId="0" xfId="0" applyFont="1" applyFill="1" applyAlignment="1">
      <alignment wrapText="1" readingOrder="1"/>
    </xf>
    <xf numFmtId="0" fontId="6" fillId="3" borderId="0" xfId="0" applyFont="1" applyFill="1" applyAlignment="1">
      <alignment wrapText="1" readingOrder="1"/>
    </xf>
    <xf numFmtId="0" fontId="7" fillId="3" borderId="0" xfId="0" applyFont="1" applyFill="1" applyAlignment="1">
      <alignment vertical="top" wrapText="1" readingOrder="1"/>
    </xf>
    <xf numFmtId="0" fontId="1" fillId="3" borderId="0" xfId="0" applyFont="1" applyFill="1"/>
    <xf numFmtId="0" fontId="6" fillId="3" borderId="0" xfId="0" applyFont="1" applyFill="1" applyAlignment="1">
      <alignment vertical="top" wrapText="1" readingOrder="1"/>
    </xf>
    <xf numFmtId="0" fontId="9" fillId="3" borderId="0" xfId="0" applyFont="1" applyFill="1" applyAlignment="1">
      <alignment wrapText="1" readingOrder="1"/>
    </xf>
    <xf numFmtId="0" fontId="19" fillId="0" borderId="0" xfId="0" applyFont="1"/>
    <xf numFmtId="0" fontId="0" fillId="0" borderId="0" xfId="0" applyAlignment="1">
      <alignment horizontal="center"/>
    </xf>
    <xf numFmtId="0" fontId="0" fillId="0" borderId="13" xfId="0" applyBorder="1"/>
    <xf numFmtId="0" fontId="0" fillId="5" borderId="0" xfId="0" applyFill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6" borderId="14" xfId="0" applyFont="1" applyFill="1" applyBorder="1"/>
    <xf numFmtId="0" fontId="23" fillId="0" borderId="14" xfId="0" applyFont="1" applyBorder="1"/>
    <xf numFmtId="0" fontId="25" fillId="0" borderId="0" xfId="0" applyFont="1"/>
    <xf numFmtId="0" fontId="26" fillId="0" borderId="0" xfId="0" applyFont="1"/>
    <xf numFmtId="0" fontId="24" fillId="6" borderId="14" xfId="0" applyFont="1" applyFill="1" applyBorder="1" applyAlignment="1">
      <alignment horizontal="center" vertical="center" wrapText="1"/>
    </xf>
    <xf numFmtId="0" fontId="22" fillId="7" borderId="14" xfId="0" applyFont="1" applyFill="1" applyBorder="1" applyAlignment="1">
      <alignment vertical="center" wrapText="1"/>
    </xf>
    <xf numFmtId="0" fontId="23" fillId="7" borderId="14" xfId="0" applyFont="1" applyFill="1" applyBorder="1" applyAlignment="1">
      <alignment vertical="center" wrapText="1"/>
    </xf>
    <xf numFmtId="0" fontId="22" fillId="8" borderId="14" xfId="0" applyFont="1" applyFill="1" applyBorder="1" applyAlignment="1">
      <alignment vertical="center" wrapText="1"/>
    </xf>
    <xf numFmtId="0" fontId="23" fillId="8" borderId="14" xfId="0" applyFont="1" applyFill="1" applyBorder="1" applyAlignment="1">
      <alignment vertical="center" wrapText="1"/>
    </xf>
    <xf numFmtId="0" fontId="22" fillId="9" borderId="14" xfId="0" applyFont="1" applyFill="1" applyBorder="1" applyAlignment="1">
      <alignment vertical="center" wrapText="1"/>
    </xf>
    <xf numFmtId="0" fontId="23" fillId="9" borderId="14" xfId="0" applyFont="1" applyFill="1" applyBorder="1" applyAlignment="1">
      <alignment vertical="center" wrapText="1"/>
    </xf>
    <xf numFmtId="0" fontId="22" fillId="10" borderId="14" xfId="0" applyFont="1" applyFill="1" applyBorder="1" applyAlignment="1">
      <alignment vertical="center" wrapText="1"/>
    </xf>
    <xf numFmtId="0" fontId="23" fillId="10" borderId="14" xfId="0" applyFont="1" applyFill="1" applyBorder="1" applyAlignment="1">
      <alignment vertical="center" wrapText="1"/>
    </xf>
    <xf numFmtId="0" fontId="27" fillId="0" borderId="0" xfId="0" applyFont="1"/>
    <xf numFmtId="0" fontId="28" fillId="0" borderId="0" xfId="0" applyFont="1"/>
    <xf numFmtId="0" fontId="29" fillId="0" borderId="0" xfId="0" applyFont="1"/>
    <xf numFmtId="0" fontId="22" fillId="11" borderId="14" xfId="0" applyFont="1" applyFill="1" applyBorder="1" applyAlignment="1">
      <alignment vertical="center" wrapText="1"/>
    </xf>
    <xf numFmtId="0" fontId="23" fillId="11" borderId="14" xfId="0" applyFont="1" applyFill="1" applyBorder="1" applyAlignment="1">
      <alignment vertical="center" wrapText="1"/>
    </xf>
    <xf numFmtId="0" fontId="22" fillId="12" borderId="14" xfId="0" applyFont="1" applyFill="1" applyBorder="1" applyAlignment="1">
      <alignment vertical="center" wrapText="1"/>
    </xf>
    <xf numFmtId="0" fontId="23" fillId="12" borderId="14" xfId="0" applyFont="1" applyFill="1" applyBorder="1" applyAlignment="1">
      <alignment vertical="center" wrapText="1"/>
    </xf>
    <xf numFmtId="0" fontId="30" fillId="9" borderId="14" xfId="0" applyFont="1" applyFill="1" applyBorder="1" applyAlignment="1">
      <alignment vertical="center" wrapText="1"/>
    </xf>
    <xf numFmtId="0" fontId="31" fillId="9" borderId="14" xfId="0" applyFont="1" applyFill="1" applyBorder="1" applyAlignment="1">
      <alignment vertical="center" wrapText="1"/>
    </xf>
    <xf numFmtId="0" fontId="23" fillId="13" borderId="14" xfId="0" applyFont="1" applyFill="1" applyBorder="1" applyAlignment="1">
      <alignment vertical="center" wrapText="1"/>
    </xf>
    <xf numFmtId="0" fontId="30" fillId="13" borderId="14" xfId="0" applyFont="1" applyFill="1" applyBorder="1" applyAlignment="1">
      <alignment vertical="center" wrapText="1"/>
    </xf>
    <xf numFmtId="0" fontId="31" fillId="10" borderId="14" xfId="0" applyFont="1" applyFill="1" applyBorder="1" applyAlignment="1">
      <alignment vertical="center" wrapText="1"/>
    </xf>
    <xf numFmtId="0" fontId="30" fillId="10" borderId="14" xfId="0" applyFont="1" applyFill="1" applyBorder="1" applyAlignment="1">
      <alignment vertical="center" wrapText="1"/>
    </xf>
    <xf numFmtId="0" fontId="23" fillId="14" borderId="14" xfId="0" applyFont="1" applyFill="1" applyBorder="1" applyAlignment="1">
      <alignment vertical="center" wrapText="1"/>
    </xf>
    <xf numFmtId="0" fontId="31" fillId="14" borderId="14" xfId="0" applyFont="1" applyFill="1" applyBorder="1" applyAlignment="1">
      <alignment vertical="center" wrapText="1"/>
    </xf>
    <xf numFmtId="0" fontId="30" fillId="14" borderId="14" xfId="0" applyFont="1" applyFill="1" applyBorder="1" applyAlignment="1">
      <alignment vertical="center" wrapText="1"/>
    </xf>
    <xf numFmtId="0" fontId="22" fillId="9" borderId="14" xfId="0" applyFont="1" applyFill="1" applyBorder="1"/>
    <xf numFmtId="0" fontId="22" fillId="13" borderId="14" xfId="0" applyFont="1" applyFill="1" applyBorder="1"/>
    <xf numFmtId="0" fontId="22" fillId="10" borderId="14" xfId="0" applyFont="1" applyFill="1" applyBorder="1"/>
    <xf numFmtId="0" fontId="22" fillId="14" borderId="14" xfId="0" applyFont="1" applyFill="1" applyBorder="1"/>
    <xf numFmtId="0" fontId="31" fillId="0" borderId="14" xfId="0" applyFont="1" applyBorder="1"/>
    <xf numFmtId="0" fontId="30" fillId="0" borderId="14" xfId="0" applyFont="1" applyBorder="1"/>
    <xf numFmtId="0" fontId="32" fillId="0" borderId="0" xfId="0" applyFont="1"/>
    <xf numFmtId="0" fontId="33" fillId="0" borderId="0" xfId="0" applyFont="1"/>
    <xf numFmtId="0" fontId="24" fillId="15" borderId="14" xfId="0" applyFont="1" applyFill="1" applyBorder="1" applyAlignment="1">
      <alignment horizontal="center" vertical="center" wrapText="1"/>
    </xf>
    <xf numFmtId="0" fontId="34" fillId="0" borderId="0" xfId="0" applyFont="1"/>
    <xf numFmtId="0" fontId="24" fillId="16" borderId="14" xfId="0" applyFont="1" applyFill="1" applyBorder="1" applyAlignment="1">
      <alignment horizontal="center" vertical="center" wrapText="1"/>
    </xf>
    <xf numFmtId="0" fontId="35" fillId="0" borderId="0" xfId="0" applyFont="1"/>
    <xf numFmtId="0" fontId="24" fillId="17" borderId="14" xfId="0" applyFont="1" applyFill="1" applyBorder="1" applyAlignment="1">
      <alignment horizontal="center" vertical="center" wrapText="1"/>
    </xf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24" fillId="18" borderId="14" xfId="0" applyFont="1" applyFill="1" applyBorder="1" applyAlignment="1">
      <alignment horizontal="center" vertical="center" wrapText="1"/>
    </xf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24" fillId="19" borderId="14" xfId="0" applyFont="1" applyFill="1" applyBorder="1" applyAlignment="1">
      <alignment horizontal="center" vertical="center" wrapText="1"/>
    </xf>
    <xf numFmtId="0" fontId="45" fillId="0" borderId="0" xfId="0" applyFont="1"/>
    <xf numFmtId="0" fontId="46" fillId="0" borderId="0" xfId="0" applyFont="1"/>
    <xf numFmtId="0" fontId="24" fillId="20" borderId="14" xfId="0" applyFont="1" applyFill="1" applyBorder="1" applyAlignment="1">
      <alignment horizontal="center" vertical="center" wrapText="1"/>
    </xf>
    <xf numFmtId="0" fontId="47" fillId="0" borderId="0" xfId="0" applyFont="1"/>
    <xf numFmtId="0" fontId="48" fillId="0" borderId="0" xfId="0" applyFont="1"/>
    <xf numFmtId="0" fontId="24" fillId="21" borderId="14" xfId="0" applyFont="1" applyFill="1" applyBorder="1" applyAlignment="1">
      <alignment horizontal="center" vertical="center" wrapText="1"/>
    </xf>
    <xf numFmtId="0" fontId="23" fillId="22" borderId="14" xfId="0" applyFont="1" applyFill="1" applyBorder="1" applyAlignment="1">
      <alignment vertical="center" wrapText="1"/>
    </xf>
    <xf numFmtId="0" fontId="0" fillId="22" borderId="0" xfId="0" applyFill="1"/>
    <xf numFmtId="0" fontId="49" fillId="0" borderId="0" xfId="0" applyFont="1"/>
    <xf numFmtId="2" fontId="23" fillId="11" borderId="14" xfId="0" applyNumberFormat="1" applyFont="1" applyFill="1" applyBorder="1" applyAlignment="1">
      <alignment vertical="center" wrapText="1"/>
    </xf>
    <xf numFmtId="2" fontId="23" fillId="12" borderId="14" xfId="0" applyNumberFormat="1" applyFont="1" applyFill="1" applyBorder="1" applyAlignment="1">
      <alignment vertical="center" wrapText="1"/>
    </xf>
    <xf numFmtId="0" fontId="50" fillId="0" borderId="0" xfId="0" applyFont="1"/>
    <xf numFmtId="0" fontId="51" fillId="0" borderId="0" xfId="0" applyFont="1"/>
    <xf numFmtId="0" fontId="52" fillId="0" borderId="0" xfId="0" applyFont="1"/>
    <xf numFmtId="0" fontId="24" fillId="23" borderId="14" xfId="0" applyFont="1" applyFill="1" applyBorder="1" applyAlignment="1">
      <alignment horizontal="center" vertical="center" wrapText="1"/>
    </xf>
    <xf numFmtId="0" fontId="53" fillId="0" borderId="0" xfId="0" applyFont="1"/>
    <xf numFmtId="0" fontId="24" fillId="24" borderId="14" xfId="0" applyFont="1" applyFill="1" applyBorder="1" applyAlignment="1">
      <alignment horizontal="center" vertical="center" wrapText="1"/>
    </xf>
    <xf numFmtId="0" fontId="54" fillId="11" borderId="14" xfId="0" applyFont="1" applyFill="1" applyBorder="1" applyAlignment="1">
      <alignment vertical="center" wrapText="1"/>
    </xf>
    <xf numFmtId="0" fontId="54" fillId="12" borderId="14" xfId="0" applyFont="1" applyFill="1" applyBorder="1" applyAlignment="1">
      <alignment vertical="center" wrapText="1"/>
    </xf>
    <xf numFmtId="0" fontId="42" fillId="11" borderId="14" xfId="0" applyFont="1" applyFill="1" applyBorder="1" applyAlignment="1">
      <alignment vertical="center" wrapText="1"/>
    </xf>
    <xf numFmtId="0" fontId="55" fillId="0" borderId="0" xfId="0" applyFont="1"/>
    <xf numFmtId="0" fontId="56" fillId="0" borderId="0" xfId="0" applyFont="1"/>
    <xf numFmtId="0" fontId="23" fillId="0" borderId="0" xfId="0" applyFont="1" applyAlignment="1">
      <alignment vertical="center" wrapText="1"/>
    </xf>
    <xf numFmtId="0" fontId="40" fillId="22" borderId="0" xfId="0" applyFont="1" applyFill="1"/>
    <xf numFmtId="0" fontId="31" fillId="22" borderId="14" xfId="0" applyFont="1" applyFill="1" applyBorder="1" applyAlignment="1">
      <alignment vertical="center" wrapText="1"/>
    </xf>
    <xf numFmtId="0" fontId="30" fillId="22" borderId="14" xfId="0" applyFont="1" applyFill="1" applyBorder="1" applyAlignment="1">
      <alignment vertical="center" wrapText="1"/>
    </xf>
    <xf numFmtId="0" fontId="23" fillId="25" borderId="14" xfId="0" applyFont="1" applyFill="1" applyBorder="1" applyAlignment="1">
      <alignment vertical="center" wrapText="1"/>
    </xf>
    <xf numFmtId="0" fontId="30" fillId="25" borderId="14" xfId="0" applyFont="1" applyFill="1" applyBorder="1" applyAlignment="1">
      <alignment vertical="center" wrapText="1"/>
    </xf>
    <xf numFmtId="0" fontId="0" fillId="25" borderId="0" xfId="0" applyFill="1"/>
    <xf numFmtId="0" fontId="31" fillId="25" borderId="14" xfId="0" applyFont="1" applyFill="1" applyBorder="1" applyAlignment="1">
      <alignment vertical="center" wrapText="1"/>
    </xf>
    <xf numFmtId="0" fontId="24" fillId="6" borderId="0" xfId="0" applyFont="1" applyFill="1" applyAlignment="1">
      <alignment horizontal="center" vertical="center" wrapText="1"/>
    </xf>
    <xf numFmtId="0" fontId="23" fillId="11" borderId="0" xfId="0" applyFont="1" applyFill="1" applyAlignment="1">
      <alignment vertical="center" wrapText="1"/>
    </xf>
    <xf numFmtId="0" fontId="23" fillId="12" borderId="0" xfId="0" applyFont="1" applyFill="1" applyAlignment="1">
      <alignment vertical="center" wrapText="1"/>
    </xf>
    <xf numFmtId="0" fontId="23" fillId="12" borderId="14" xfId="0" applyFont="1" applyFill="1" applyBorder="1" applyAlignment="1">
      <alignment horizontal="right" vertical="center" wrapText="1"/>
    </xf>
    <xf numFmtId="0" fontId="23" fillId="8" borderId="14" xfId="0" applyFont="1" applyFill="1" applyBorder="1" applyAlignment="1">
      <alignment horizontal="right" vertical="center" wrapText="1"/>
    </xf>
    <xf numFmtId="0" fontId="23" fillId="25" borderId="0" xfId="0" applyFont="1" applyFill="1" applyAlignment="1">
      <alignment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22" borderId="24" xfId="0" applyFill="1" applyBorder="1"/>
    <xf numFmtId="0" fontId="0" fillId="0" borderId="28" xfId="0" applyBorder="1"/>
    <xf numFmtId="0" fontId="0" fillId="28" borderId="29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0" xfId="0" applyBorder="1" applyAlignment="1">
      <alignment horizontal="center"/>
    </xf>
    <xf numFmtId="0" fontId="0" fillId="29" borderId="29" xfId="0" applyFill="1" applyBorder="1"/>
    <xf numFmtId="2" fontId="0" fillId="0" borderId="19" xfId="0" applyNumberFormat="1" applyBorder="1"/>
    <xf numFmtId="0" fontId="0" fillId="28" borderId="30" xfId="0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29" borderId="30" xfId="0" applyFill="1" applyBorder="1"/>
    <xf numFmtId="2" fontId="0" fillId="0" borderId="32" xfId="0" applyNumberFormat="1" applyBorder="1"/>
    <xf numFmtId="2" fontId="0" fillId="0" borderId="0" xfId="0" applyNumberFormat="1"/>
    <xf numFmtId="0" fontId="0" fillId="28" borderId="33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4" xfId="0" applyBorder="1"/>
    <xf numFmtId="0" fontId="0" fillId="0" borderId="34" xfId="0" applyBorder="1" applyAlignment="1">
      <alignment horizontal="center"/>
    </xf>
    <xf numFmtId="0" fontId="0" fillId="29" borderId="33" xfId="0" applyFill="1" applyBorder="1"/>
    <xf numFmtId="0" fontId="0" fillId="0" borderId="19" xfId="0" applyBorder="1"/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0" xfId="0" quotePrefix="1"/>
    <xf numFmtId="0" fontId="58" fillId="27" borderId="21" xfId="0" applyFont="1" applyFill="1" applyBorder="1"/>
    <xf numFmtId="0" fontId="59" fillId="10" borderId="14" xfId="0" applyFont="1" applyFill="1" applyBorder="1" applyAlignment="1">
      <alignment vertical="center" wrapText="1"/>
    </xf>
    <xf numFmtId="0" fontId="57" fillId="0" borderId="27" xfId="0" applyFont="1" applyBorder="1"/>
    <xf numFmtId="0" fontId="57" fillId="0" borderId="31" xfId="0" applyFont="1" applyBorder="1"/>
    <xf numFmtId="0" fontId="59" fillId="7" borderId="14" xfId="0" applyFont="1" applyFill="1" applyBorder="1" applyAlignment="1">
      <alignment vertical="center" wrapText="1"/>
    </xf>
    <xf numFmtId="0" fontId="57" fillId="0" borderId="18" xfId="0" applyFont="1" applyBorder="1"/>
    <xf numFmtId="0" fontId="57" fillId="0" borderId="0" xfId="0" applyFont="1"/>
    <xf numFmtId="0" fontId="58" fillId="27" borderId="21" xfId="0" applyFont="1" applyFill="1" applyBorder="1" applyAlignment="1">
      <alignment wrapText="1"/>
    </xf>
    <xf numFmtId="0" fontId="0" fillId="0" borderId="27" xfId="0" applyBorder="1" applyAlignment="1">
      <alignment wrapText="1"/>
    </xf>
    <xf numFmtId="0" fontId="57" fillId="0" borderId="27" xfId="0" applyFont="1" applyBorder="1" applyAlignment="1">
      <alignment wrapText="1"/>
    </xf>
    <xf numFmtId="0" fontId="57" fillId="0" borderId="31" xfId="0" applyFont="1" applyBorder="1" applyAlignment="1">
      <alignment wrapText="1"/>
    </xf>
    <xf numFmtId="0" fontId="57" fillId="0" borderId="18" xfId="0" applyFont="1" applyBorder="1" applyAlignment="1">
      <alignment horizontal="center" vertical="center" wrapText="1"/>
    </xf>
    <xf numFmtId="0" fontId="57" fillId="0" borderId="20" xfId="0" applyFont="1" applyBorder="1" applyAlignment="1">
      <alignment horizontal="center" vertical="center" wrapText="1"/>
    </xf>
    <xf numFmtId="0" fontId="0" fillId="0" borderId="35" xfId="0" applyBorder="1"/>
    <xf numFmtId="0" fontId="0" fillId="0" borderId="41" xfId="0" applyBorder="1"/>
    <xf numFmtId="2" fontId="66" fillId="0" borderId="42" xfId="0" applyNumberFormat="1" applyFont="1" applyBorder="1" applyAlignment="1">
      <alignment horizontal="center"/>
    </xf>
    <xf numFmtId="0" fontId="19" fillId="34" borderId="0" xfId="0" applyFont="1" applyFill="1"/>
    <xf numFmtId="0" fontId="1" fillId="31" borderId="47" xfId="0" applyFont="1" applyFill="1" applyBorder="1" applyAlignment="1">
      <alignment horizontal="center"/>
    </xf>
    <xf numFmtId="0" fontId="1" fillId="36" borderId="47" xfId="0" applyFont="1" applyFill="1" applyBorder="1" applyAlignment="1">
      <alignment horizontal="center"/>
    </xf>
    <xf numFmtId="0" fontId="1" fillId="36" borderId="50" xfId="0" applyFont="1" applyFill="1" applyBorder="1" applyAlignment="1">
      <alignment horizontal="center"/>
    </xf>
    <xf numFmtId="0" fontId="1" fillId="31" borderId="56" xfId="0" applyFont="1" applyFill="1" applyBorder="1" applyAlignment="1">
      <alignment horizontal="center"/>
    </xf>
    <xf numFmtId="0" fontId="65" fillId="34" borderId="59" xfId="0" applyFont="1" applyFill="1" applyBorder="1" applyAlignment="1">
      <alignment horizontal="center"/>
    </xf>
    <xf numFmtId="0" fontId="65" fillId="34" borderId="60" xfId="0" applyFont="1" applyFill="1" applyBorder="1" applyAlignment="1">
      <alignment horizontal="center"/>
    </xf>
    <xf numFmtId="0" fontId="65" fillId="34" borderId="61" xfId="0" applyFont="1" applyFill="1" applyBorder="1" applyAlignment="1">
      <alignment horizontal="center"/>
    </xf>
    <xf numFmtId="0" fontId="67" fillId="31" borderId="57" xfId="0" applyFont="1" applyFill="1" applyBorder="1" applyAlignment="1">
      <alignment horizontal="center"/>
    </xf>
    <xf numFmtId="0" fontId="67" fillId="31" borderId="58" xfId="0" applyFont="1" applyFill="1" applyBorder="1" applyAlignment="1">
      <alignment horizontal="center"/>
    </xf>
    <xf numFmtId="0" fontId="67" fillId="36" borderId="48" xfId="0" applyFont="1" applyFill="1" applyBorder="1" applyAlignment="1">
      <alignment horizontal="center"/>
    </xf>
    <xf numFmtId="0" fontId="67" fillId="36" borderId="49" xfId="0" applyFont="1" applyFill="1" applyBorder="1" applyAlignment="1">
      <alignment horizontal="center"/>
    </xf>
    <xf numFmtId="0" fontId="67" fillId="31" borderId="48" xfId="0" applyFont="1" applyFill="1" applyBorder="1" applyAlignment="1">
      <alignment horizontal="center"/>
    </xf>
    <xf numFmtId="0" fontId="67" fillId="31" borderId="49" xfId="0" applyFont="1" applyFill="1" applyBorder="1" applyAlignment="1">
      <alignment horizontal="center"/>
    </xf>
    <xf numFmtId="0" fontId="67" fillId="36" borderId="51" xfId="0" applyFont="1" applyFill="1" applyBorder="1" applyAlignment="1">
      <alignment horizontal="center"/>
    </xf>
    <xf numFmtId="0" fontId="67" fillId="36" borderId="52" xfId="0" applyFont="1" applyFill="1" applyBorder="1" applyAlignment="1">
      <alignment horizontal="center"/>
    </xf>
    <xf numFmtId="0" fontId="68" fillId="0" borderId="0" xfId="0" applyFont="1" applyAlignment="1">
      <alignment horizontal="center"/>
    </xf>
    <xf numFmtId="0" fontId="1" fillId="31" borderId="48" xfId="0" applyFont="1" applyFill="1" applyBorder="1" applyAlignment="1">
      <alignment horizontal="center"/>
    </xf>
    <xf numFmtId="2" fontId="65" fillId="37" borderId="49" xfId="0" applyNumberFormat="1" applyFont="1" applyFill="1" applyBorder="1" applyAlignment="1">
      <alignment horizontal="center"/>
    </xf>
    <xf numFmtId="0" fontId="1" fillId="36" borderId="48" xfId="0" applyFont="1" applyFill="1" applyBorder="1" applyAlignment="1">
      <alignment horizontal="center"/>
    </xf>
    <xf numFmtId="0" fontId="1" fillId="36" borderId="51" xfId="0" applyFont="1" applyFill="1" applyBorder="1" applyAlignment="1">
      <alignment horizontal="center"/>
    </xf>
    <xf numFmtId="2" fontId="65" fillId="37" borderId="52" xfId="0" applyNumberFormat="1" applyFont="1" applyFill="1" applyBorder="1" applyAlignment="1">
      <alignment horizontal="center"/>
    </xf>
    <xf numFmtId="0" fontId="1" fillId="31" borderId="57" xfId="0" applyFont="1" applyFill="1" applyBorder="1" applyAlignment="1">
      <alignment horizontal="center"/>
    </xf>
    <xf numFmtId="2" fontId="65" fillId="37" borderId="58" xfId="0" applyNumberFormat="1" applyFont="1" applyFill="1" applyBorder="1" applyAlignment="1">
      <alignment horizontal="center"/>
    </xf>
    <xf numFmtId="0" fontId="69" fillId="38" borderId="35" xfId="0" applyFont="1" applyFill="1" applyBorder="1"/>
    <xf numFmtId="0" fontId="69" fillId="38" borderId="0" xfId="0" applyFont="1" applyFill="1"/>
    <xf numFmtId="2" fontId="0" fillId="31" borderId="0" xfId="0" applyNumberFormat="1" applyFill="1" applyAlignment="1">
      <alignment horizontal="center"/>
    </xf>
    <xf numFmtId="0" fontId="62" fillId="37" borderId="0" xfId="0" applyFont="1" applyFill="1"/>
    <xf numFmtId="0" fontId="60" fillId="35" borderId="39" xfId="0" applyFont="1" applyFill="1" applyBorder="1"/>
    <xf numFmtId="0" fontId="60" fillId="35" borderId="37" xfId="0" applyFont="1" applyFill="1" applyBorder="1"/>
    <xf numFmtId="0" fontId="0" fillId="0" borderId="37" xfId="0" applyBorder="1"/>
    <xf numFmtId="0" fontId="1" fillId="33" borderId="37" xfId="0" applyFont="1" applyFill="1" applyBorder="1"/>
    <xf numFmtId="0" fontId="70" fillId="37" borderId="37" xfId="0" applyFont="1" applyFill="1" applyBorder="1"/>
    <xf numFmtId="0" fontId="0" fillId="33" borderId="40" xfId="0" applyFill="1" applyBorder="1"/>
    <xf numFmtId="0" fontId="0" fillId="31" borderId="42" xfId="0" applyFill="1" applyBorder="1" applyAlignment="1">
      <alignment horizontal="center"/>
    </xf>
    <xf numFmtId="2" fontId="1" fillId="31" borderId="47" xfId="0" applyNumberFormat="1" applyFont="1" applyFill="1" applyBorder="1" applyAlignment="1">
      <alignment horizontal="center"/>
    </xf>
    <xf numFmtId="0" fontId="65" fillId="31" borderId="49" xfId="0" applyFont="1" applyFill="1" applyBorder="1" applyAlignment="1">
      <alignment horizontal="center"/>
    </xf>
    <xf numFmtId="2" fontId="1" fillId="36" borderId="47" xfId="0" applyNumberFormat="1" applyFont="1" applyFill="1" applyBorder="1" applyAlignment="1">
      <alignment horizontal="center"/>
    </xf>
    <xf numFmtId="0" fontId="65" fillId="36" borderId="49" xfId="0" applyFont="1" applyFill="1" applyBorder="1" applyAlignment="1">
      <alignment horizontal="center"/>
    </xf>
    <xf numFmtId="2" fontId="1" fillId="36" borderId="50" xfId="0" applyNumberFormat="1" applyFont="1" applyFill="1" applyBorder="1" applyAlignment="1">
      <alignment horizontal="center"/>
    </xf>
    <xf numFmtId="0" fontId="65" fillId="36" borderId="52" xfId="0" applyFont="1" applyFill="1" applyBorder="1" applyAlignment="1">
      <alignment horizontal="center"/>
    </xf>
    <xf numFmtId="0" fontId="60" fillId="32" borderId="53" xfId="0" applyFont="1" applyFill="1" applyBorder="1"/>
    <xf numFmtId="0" fontId="64" fillId="32" borderId="55" xfId="0" applyFont="1" applyFill="1" applyBorder="1"/>
    <xf numFmtId="2" fontId="1" fillId="31" borderId="56" xfId="0" applyNumberFormat="1" applyFont="1" applyFill="1" applyBorder="1" applyAlignment="1">
      <alignment horizontal="center"/>
    </xf>
    <xf numFmtId="0" fontId="65" fillId="31" borderId="58" xfId="0" applyFont="1" applyFill="1" applyBorder="1" applyAlignment="1">
      <alignment horizontal="center"/>
    </xf>
    <xf numFmtId="0" fontId="19" fillId="33" borderId="62" xfId="0" applyFont="1" applyFill="1" applyBorder="1" applyAlignment="1">
      <alignment horizontal="center"/>
    </xf>
    <xf numFmtId="0" fontId="19" fillId="33" borderId="63" xfId="0" applyFont="1" applyFill="1" applyBorder="1" applyAlignment="1">
      <alignment horizontal="center"/>
    </xf>
    <xf numFmtId="0" fontId="65" fillId="40" borderId="0" xfId="0" applyFont="1" applyFill="1"/>
    <xf numFmtId="0" fontId="1" fillId="36" borderId="36" xfId="0" applyFont="1" applyFill="1" applyBorder="1"/>
    <xf numFmtId="0" fontId="60" fillId="39" borderId="39" xfId="0" applyFont="1" applyFill="1" applyBorder="1"/>
    <xf numFmtId="0" fontId="65" fillId="40" borderId="37" xfId="0" applyFont="1" applyFill="1" applyBorder="1"/>
    <xf numFmtId="0" fontId="1" fillId="36" borderId="40" xfId="0" applyFont="1" applyFill="1" applyBorder="1"/>
    <xf numFmtId="0" fontId="65" fillId="40" borderId="38" xfId="0" applyFont="1" applyFill="1" applyBorder="1"/>
    <xf numFmtId="0" fontId="1" fillId="36" borderId="42" xfId="0" applyFont="1" applyFill="1" applyBorder="1"/>
    <xf numFmtId="0" fontId="1" fillId="36" borderId="43" xfId="0" applyFont="1" applyFill="1" applyBorder="1"/>
    <xf numFmtId="0" fontId="1" fillId="31" borderId="47" xfId="0" applyFont="1" applyFill="1" applyBorder="1"/>
    <xf numFmtId="2" fontId="1" fillId="31" borderId="48" xfId="0" applyNumberFormat="1" applyFont="1" applyFill="1" applyBorder="1" applyAlignment="1">
      <alignment horizontal="center"/>
    </xf>
    <xf numFmtId="2" fontId="1" fillId="31" borderId="49" xfId="0" applyNumberFormat="1" applyFont="1" applyFill="1" applyBorder="1" applyAlignment="1">
      <alignment horizontal="center"/>
    </xf>
    <xf numFmtId="0" fontId="1" fillId="36" borderId="47" xfId="0" applyFont="1" applyFill="1" applyBorder="1"/>
    <xf numFmtId="2" fontId="1" fillId="36" borderId="48" xfId="0" applyNumberFormat="1" applyFont="1" applyFill="1" applyBorder="1" applyAlignment="1">
      <alignment horizontal="center"/>
    </xf>
    <xf numFmtId="2" fontId="1" fillId="36" borderId="49" xfId="0" applyNumberFormat="1" applyFont="1" applyFill="1" applyBorder="1" applyAlignment="1">
      <alignment horizontal="center"/>
    </xf>
    <xf numFmtId="0" fontId="66" fillId="36" borderId="50" xfId="0" applyFont="1" applyFill="1" applyBorder="1" applyAlignment="1">
      <alignment horizontal="center"/>
    </xf>
    <xf numFmtId="2" fontId="66" fillId="36" borderId="51" xfId="0" applyNumberFormat="1" applyFont="1" applyFill="1" applyBorder="1" applyAlignment="1">
      <alignment horizontal="center"/>
    </xf>
    <xf numFmtId="2" fontId="66" fillId="36" borderId="52" xfId="0" applyNumberFormat="1" applyFont="1" applyFill="1" applyBorder="1" applyAlignment="1">
      <alignment horizontal="center"/>
    </xf>
    <xf numFmtId="0" fontId="60" fillId="35" borderId="53" xfId="0" applyFont="1" applyFill="1" applyBorder="1"/>
    <xf numFmtId="0" fontId="0" fillId="0" borderId="54" xfId="0" applyBorder="1"/>
    <xf numFmtId="0" fontId="0" fillId="0" borderId="55" xfId="0" applyBorder="1"/>
    <xf numFmtId="0" fontId="1" fillId="31" borderId="56" xfId="0" applyFont="1" applyFill="1" applyBorder="1"/>
    <xf numFmtId="2" fontId="1" fillId="31" borderId="57" xfId="0" applyNumberFormat="1" applyFont="1" applyFill="1" applyBorder="1" applyAlignment="1">
      <alignment horizontal="center"/>
    </xf>
    <xf numFmtId="2" fontId="1" fillId="31" borderId="58" xfId="0" applyNumberFormat="1" applyFont="1" applyFill="1" applyBorder="1" applyAlignment="1">
      <alignment horizontal="center"/>
    </xf>
    <xf numFmtId="0" fontId="1" fillId="36" borderId="44" xfId="0" applyFont="1" applyFill="1" applyBorder="1"/>
    <xf numFmtId="0" fontId="1" fillId="31" borderId="45" xfId="0" applyFont="1" applyFill="1" applyBorder="1"/>
    <xf numFmtId="0" fontId="1" fillId="31" borderId="46" xfId="0" applyFont="1" applyFill="1" applyBorder="1"/>
    <xf numFmtId="0" fontId="1" fillId="31" borderId="64" xfId="0" applyFont="1" applyFill="1" applyBorder="1"/>
    <xf numFmtId="0" fontId="1" fillId="31" borderId="65" xfId="0" applyFont="1" applyFill="1" applyBorder="1"/>
    <xf numFmtId="0" fontId="65" fillId="34" borderId="66" xfId="0" applyFont="1" applyFill="1" applyBorder="1"/>
    <xf numFmtId="0" fontId="65" fillId="34" borderId="67" xfId="0" applyFont="1" applyFill="1" applyBorder="1"/>
    <xf numFmtId="0" fontId="62" fillId="37" borderId="0" xfId="0" applyFont="1" applyFill="1" applyAlignment="1">
      <alignment wrapText="1"/>
    </xf>
    <xf numFmtId="0" fontId="72" fillId="31" borderId="48" xfId="0" applyFont="1" applyFill="1" applyBorder="1" applyAlignment="1">
      <alignment horizontal="center"/>
    </xf>
    <xf numFmtId="0" fontId="72" fillId="36" borderId="48" xfId="0" applyFont="1" applyFill="1" applyBorder="1" applyAlignment="1">
      <alignment horizontal="center"/>
    </xf>
    <xf numFmtId="0" fontId="73" fillId="31" borderId="70" xfId="0" applyFont="1" applyFill="1" applyBorder="1" applyAlignment="1">
      <alignment horizontal="center"/>
    </xf>
    <xf numFmtId="0" fontId="73" fillId="36" borderId="70" xfId="0" applyFont="1" applyFill="1" applyBorder="1" applyAlignment="1">
      <alignment horizontal="center"/>
    </xf>
    <xf numFmtId="0" fontId="61" fillId="35" borderId="74" xfId="0" applyFont="1" applyFill="1" applyBorder="1" applyAlignment="1">
      <alignment horizontal="center"/>
    </xf>
    <xf numFmtId="0" fontId="60" fillId="35" borderId="75" xfId="0" applyFont="1" applyFill="1" applyBorder="1" applyAlignment="1">
      <alignment horizontal="center"/>
    </xf>
    <xf numFmtId="0" fontId="73" fillId="31" borderId="76" xfId="0" applyFont="1" applyFill="1" applyBorder="1" applyAlignment="1">
      <alignment horizontal="center"/>
    </xf>
    <xf numFmtId="0" fontId="72" fillId="31" borderId="57" xfId="0" applyFont="1" applyFill="1" applyBorder="1" applyAlignment="1">
      <alignment horizontal="center"/>
    </xf>
    <xf numFmtId="0" fontId="71" fillId="34" borderId="77" xfId="0" applyFont="1" applyFill="1" applyBorder="1" applyAlignment="1">
      <alignment horizontal="center"/>
    </xf>
    <xf numFmtId="0" fontId="71" fillId="34" borderId="60" xfId="0" applyFont="1" applyFill="1" applyBorder="1" applyAlignment="1">
      <alignment horizontal="center"/>
    </xf>
    <xf numFmtId="1" fontId="74" fillId="31" borderId="48" xfId="0" applyNumberFormat="1" applyFont="1" applyFill="1" applyBorder="1" applyAlignment="1">
      <alignment horizontal="center"/>
    </xf>
    <xf numFmtId="1" fontId="74" fillId="36" borderId="48" xfId="0" applyNumberFormat="1" applyFont="1" applyFill="1" applyBorder="1" applyAlignment="1">
      <alignment horizontal="center"/>
    </xf>
    <xf numFmtId="0" fontId="61" fillId="35" borderId="75" xfId="0" applyFont="1" applyFill="1" applyBorder="1" applyAlignment="1">
      <alignment horizontal="center"/>
    </xf>
    <xf numFmtId="1" fontId="74" fillId="31" borderId="57" xfId="0" applyNumberFormat="1" applyFont="1" applyFill="1" applyBorder="1" applyAlignment="1">
      <alignment horizontal="center"/>
    </xf>
    <xf numFmtId="0" fontId="60" fillId="35" borderId="78" xfId="0" applyFont="1" applyFill="1" applyBorder="1" applyAlignment="1">
      <alignment horizontal="center"/>
    </xf>
    <xf numFmtId="0" fontId="71" fillId="34" borderId="79" xfId="0" applyFont="1" applyFill="1" applyBorder="1" applyAlignment="1">
      <alignment horizontal="center"/>
    </xf>
    <xf numFmtId="0" fontId="72" fillId="31" borderId="80" xfId="0" applyFont="1" applyFill="1" applyBorder="1" applyAlignment="1">
      <alignment horizontal="center"/>
    </xf>
    <xf numFmtId="0" fontId="72" fillId="36" borderId="81" xfId="0" applyFont="1" applyFill="1" applyBorder="1" applyAlignment="1">
      <alignment horizontal="center"/>
    </xf>
    <xf numFmtId="0" fontId="72" fillId="31" borderId="81" xfId="0" applyFont="1" applyFill="1" applyBorder="1" applyAlignment="1">
      <alignment horizontal="center"/>
    </xf>
    <xf numFmtId="0" fontId="61" fillId="35" borderId="82" xfId="0" applyFont="1" applyFill="1" applyBorder="1" applyAlignment="1">
      <alignment horizontal="center"/>
    </xf>
    <xf numFmtId="0" fontId="71" fillId="34" borderId="83" xfId="0" applyFont="1" applyFill="1" applyBorder="1" applyAlignment="1">
      <alignment horizontal="center"/>
    </xf>
    <xf numFmtId="0" fontId="74" fillId="31" borderId="84" xfId="0" applyFont="1" applyFill="1" applyBorder="1" applyAlignment="1">
      <alignment horizontal="center"/>
    </xf>
    <xf numFmtId="0" fontId="74" fillId="36" borderId="85" xfId="0" applyFont="1" applyFill="1" applyBorder="1" applyAlignment="1">
      <alignment horizontal="center"/>
    </xf>
    <xf numFmtId="0" fontId="74" fillId="31" borderId="85" xfId="0" applyFont="1" applyFill="1" applyBorder="1" applyAlignment="1">
      <alignment horizontal="center"/>
    </xf>
    <xf numFmtId="0" fontId="76" fillId="38" borderId="32" xfId="0" applyFont="1" applyFill="1" applyBorder="1"/>
    <xf numFmtId="0" fontId="0" fillId="36" borderId="0" xfId="0" applyFill="1"/>
    <xf numFmtId="0" fontId="76" fillId="38" borderId="3" xfId="0" applyFont="1" applyFill="1" applyBorder="1"/>
    <xf numFmtId="0" fontId="61" fillId="35" borderId="2" xfId="0" applyFont="1" applyFill="1" applyBorder="1"/>
    <xf numFmtId="0" fontId="61" fillId="35" borderId="86" xfId="0" applyFont="1" applyFill="1" applyBorder="1"/>
    <xf numFmtId="0" fontId="0" fillId="36" borderId="5" xfId="0" applyFill="1" applyBorder="1"/>
    <xf numFmtId="0" fontId="77" fillId="33" borderId="5" xfId="0" applyFont="1" applyFill="1" applyBorder="1"/>
    <xf numFmtId="0" fontId="70" fillId="37" borderId="5" xfId="0" applyFont="1" applyFill="1" applyBorder="1"/>
    <xf numFmtId="0" fontId="61" fillId="35" borderId="78" xfId="0" applyFont="1" applyFill="1" applyBorder="1" applyAlignment="1">
      <alignment horizontal="center"/>
    </xf>
    <xf numFmtId="0" fontId="71" fillId="37" borderId="79" xfId="0" applyFont="1" applyFill="1" applyBorder="1" applyAlignment="1">
      <alignment horizontal="center"/>
    </xf>
    <xf numFmtId="2" fontId="75" fillId="37" borderId="80" xfId="0" applyNumberFormat="1" applyFont="1" applyFill="1" applyBorder="1" applyAlignment="1">
      <alignment horizontal="center"/>
    </xf>
    <xf numFmtId="2" fontId="75" fillId="37" borderId="81" xfId="0" applyNumberFormat="1" applyFont="1" applyFill="1" applyBorder="1" applyAlignment="1">
      <alignment horizontal="center"/>
    </xf>
    <xf numFmtId="0" fontId="19" fillId="33" borderId="7" xfId="0" applyFont="1" applyFill="1" applyBorder="1"/>
    <xf numFmtId="164" fontId="0" fillId="31" borderId="9" xfId="0" applyNumberFormat="1" applyFill="1" applyBorder="1" applyAlignment="1">
      <alignment horizontal="center"/>
    </xf>
    <xf numFmtId="0" fontId="63" fillId="33" borderId="70" xfId="0" applyFont="1" applyFill="1" applyBorder="1" applyAlignment="1">
      <alignment horizontal="center"/>
    </xf>
    <xf numFmtId="2" fontId="65" fillId="31" borderId="70" xfId="0" applyNumberFormat="1" applyFont="1" applyFill="1" applyBorder="1" applyAlignment="1">
      <alignment horizontal="center"/>
    </xf>
    <xf numFmtId="2" fontId="65" fillId="36" borderId="70" xfId="0" applyNumberFormat="1" applyFont="1" applyFill="1" applyBorder="1" applyAlignment="1">
      <alignment horizontal="center"/>
    </xf>
    <xf numFmtId="2" fontId="65" fillId="36" borderId="71" xfId="0" applyNumberFormat="1" applyFont="1" applyFill="1" applyBorder="1" applyAlignment="1">
      <alignment horizontal="center"/>
    </xf>
    <xf numFmtId="0" fontId="61" fillId="32" borderId="69" xfId="0" applyFont="1" applyFill="1" applyBorder="1" applyAlignment="1">
      <alignment horizontal="center"/>
    </xf>
    <xf numFmtId="0" fontId="63" fillId="40" borderId="36" xfId="0" applyFont="1" applyFill="1" applyBorder="1"/>
    <xf numFmtId="0" fontId="66" fillId="36" borderId="0" xfId="0" applyFont="1" applyFill="1"/>
    <xf numFmtId="0" fontId="64" fillId="39" borderId="3" xfId="0" applyFont="1" applyFill="1" applyBorder="1"/>
    <xf numFmtId="0" fontId="61" fillId="39" borderId="2" xfId="0" applyFont="1" applyFill="1" applyBorder="1"/>
    <xf numFmtId="0" fontId="63" fillId="40" borderId="87" xfId="0" applyFont="1" applyFill="1" applyBorder="1"/>
    <xf numFmtId="0" fontId="66" fillId="36" borderId="5" xfId="0" applyFont="1" applyFill="1" applyBorder="1"/>
    <xf numFmtId="0" fontId="64" fillId="39" borderId="4" xfId="0" applyFont="1" applyFill="1" applyBorder="1"/>
    <xf numFmtId="0" fontId="63" fillId="40" borderId="88" xfId="0" applyFont="1" applyFill="1" applyBorder="1"/>
    <xf numFmtId="0" fontId="66" fillId="36" borderId="6" xfId="0" applyFont="1" applyFill="1" applyBorder="1"/>
    <xf numFmtId="0" fontId="66" fillId="31" borderId="7" xfId="0" applyFont="1" applyFill="1" applyBorder="1"/>
    <xf numFmtId="0" fontId="66" fillId="31" borderId="8" xfId="0" applyFont="1" applyFill="1" applyBorder="1"/>
    <xf numFmtId="0" fontId="66" fillId="31" borderId="9" xfId="0" applyFont="1" applyFill="1" applyBorder="1"/>
    <xf numFmtId="0" fontId="63" fillId="34" borderId="48" xfId="0" applyFont="1" applyFill="1" applyBorder="1" applyAlignment="1">
      <alignment horizontal="center"/>
    </xf>
    <xf numFmtId="2" fontId="66" fillId="31" borderId="48" xfId="0" applyNumberFormat="1" applyFont="1" applyFill="1" applyBorder="1" applyAlignment="1">
      <alignment horizontal="center"/>
    </xf>
    <xf numFmtId="2" fontId="66" fillId="36" borderId="48" xfId="0" applyNumberFormat="1" applyFont="1" applyFill="1" applyBorder="1" applyAlignment="1">
      <alignment horizontal="center"/>
    </xf>
    <xf numFmtId="0" fontId="64" fillId="35" borderId="68" xfId="0" applyFont="1" applyFill="1" applyBorder="1"/>
    <xf numFmtId="0" fontId="61" fillId="35" borderId="69" xfId="0" applyFont="1" applyFill="1" applyBorder="1"/>
    <xf numFmtId="0" fontId="63" fillId="34" borderId="70" xfId="0" applyFont="1" applyFill="1" applyBorder="1" applyAlignment="1">
      <alignment horizontal="center"/>
    </xf>
    <xf numFmtId="0" fontId="66" fillId="31" borderId="70" xfId="0" applyFont="1" applyFill="1" applyBorder="1" applyAlignment="1">
      <alignment horizontal="center"/>
    </xf>
    <xf numFmtId="0" fontId="66" fillId="36" borderId="70" xfId="0" applyFont="1" applyFill="1" applyBorder="1" applyAlignment="1">
      <alignment horizontal="center"/>
    </xf>
    <xf numFmtId="0" fontId="64" fillId="35" borderId="72" xfId="0" applyFont="1" applyFill="1" applyBorder="1"/>
    <xf numFmtId="0" fontId="63" fillId="34" borderId="73" xfId="0" applyFont="1" applyFill="1" applyBorder="1" applyAlignment="1">
      <alignment horizontal="center"/>
    </xf>
    <xf numFmtId="2" fontId="66" fillId="31" borderId="73" xfId="0" applyNumberFormat="1" applyFont="1" applyFill="1" applyBorder="1" applyAlignment="1">
      <alignment horizontal="center"/>
    </xf>
    <xf numFmtId="2" fontId="66" fillId="36" borderId="73" xfId="0" applyNumberFormat="1" applyFont="1" applyFill="1" applyBorder="1" applyAlignment="1">
      <alignment horizontal="center"/>
    </xf>
    <xf numFmtId="0" fontId="66" fillId="36" borderId="90" xfId="0" applyFont="1" applyFill="1" applyBorder="1" applyAlignment="1">
      <alignment horizontal="center"/>
    </xf>
    <xf numFmtId="2" fontId="66" fillId="36" borderId="91" xfId="0" applyNumberFormat="1" applyFont="1" applyFill="1" applyBorder="1" applyAlignment="1">
      <alignment horizontal="center"/>
    </xf>
    <xf numFmtId="2" fontId="66" fillId="36" borderId="92" xfId="0" applyNumberFormat="1" applyFont="1" applyFill="1" applyBorder="1" applyAlignment="1">
      <alignment horizontal="center"/>
    </xf>
    <xf numFmtId="0" fontId="61" fillId="35" borderId="93" xfId="0" applyFont="1" applyFill="1" applyBorder="1"/>
    <xf numFmtId="0" fontId="78" fillId="35" borderId="94" xfId="0" applyFont="1" applyFill="1" applyBorder="1"/>
    <xf numFmtId="0" fontId="65" fillId="34" borderId="89" xfId="0" applyFont="1" applyFill="1" applyBorder="1"/>
    <xf numFmtId="0" fontId="65" fillId="34" borderId="95" xfId="0" applyFont="1" applyFill="1" applyBorder="1"/>
    <xf numFmtId="0" fontId="65" fillId="31" borderId="89" xfId="0" applyFont="1" applyFill="1" applyBorder="1"/>
    <xf numFmtId="0" fontId="1" fillId="31" borderId="95" xfId="0" applyFont="1" applyFill="1" applyBorder="1"/>
    <xf numFmtId="0" fontId="65" fillId="36" borderId="89" xfId="0" applyFont="1" applyFill="1" applyBorder="1"/>
    <xf numFmtId="0" fontId="1" fillId="36" borderId="95" xfId="0" applyFont="1" applyFill="1" applyBorder="1"/>
    <xf numFmtId="0" fontId="65" fillId="31" borderId="96" xfId="0" applyFont="1" applyFill="1" applyBorder="1"/>
    <xf numFmtId="0" fontId="1" fillId="31" borderId="97" xfId="0" applyFont="1" applyFill="1" applyBorder="1"/>
    <xf numFmtId="0" fontId="79" fillId="34" borderId="48" xfId="0" applyFont="1" applyFill="1" applyBorder="1" applyAlignment="1">
      <alignment horizontal="center"/>
    </xf>
    <xf numFmtId="2" fontId="0" fillId="0" borderId="48" xfId="0" applyNumberFormat="1" applyBorder="1" applyAlignment="1">
      <alignment horizontal="center"/>
    </xf>
    <xf numFmtId="0" fontId="64" fillId="30" borderId="68" xfId="0" applyFont="1" applyFill="1" applyBorder="1"/>
    <xf numFmtId="0" fontId="64" fillId="30" borderId="72" xfId="0" applyFont="1" applyFill="1" applyBorder="1"/>
    <xf numFmtId="0" fontId="79" fillId="34" borderId="73" xfId="0" applyFont="1" applyFill="1" applyBorder="1" applyAlignment="1">
      <alignment horizontal="center"/>
    </xf>
    <xf numFmtId="2" fontId="0" fillId="0" borderId="73" xfId="0" applyNumberFormat="1" applyBorder="1" applyAlignment="1">
      <alignment horizontal="center"/>
    </xf>
    <xf numFmtId="2" fontId="0" fillId="0" borderId="98" xfId="0" applyNumberFormat="1" applyBorder="1" applyAlignment="1">
      <alignment horizontal="center"/>
    </xf>
    <xf numFmtId="2" fontId="0" fillId="0" borderId="99" xfId="0" applyNumberFormat="1" applyBorder="1" applyAlignment="1">
      <alignment horizontal="center"/>
    </xf>
    <xf numFmtId="0" fontId="79" fillId="36" borderId="48" xfId="0" applyFont="1" applyFill="1" applyBorder="1" applyAlignment="1">
      <alignment horizontal="center"/>
    </xf>
    <xf numFmtId="0" fontId="79" fillId="36" borderId="73" xfId="0" applyFont="1" applyFill="1" applyBorder="1" applyAlignment="1">
      <alignment horizontal="center"/>
    </xf>
    <xf numFmtId="0" fontId="79" fillId="36" borderId="91" xfId="0" applyFont="1" applyFill="1" applyBorder="1" applyAlignment="1">
      <alignment horizontal="center"/>
    </xf>
    <xf numFmtId="0" fontId="79" fillId="36" borderId="92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5" fillId="0" borderId="0" xfId="0" applyFont="1"/>
    <xf numFmtId="0" fontId="12" fillId="0" borderId="2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4" fillId="0" borderId="5" xfId="0" applyFont="1" applyBorder="1" applyAlignment="1">
      <alignment readingOrder="1"/>
    </xf>
    <xf numFmtId="0" fontId="4" fillId="0" borderId="0" xfId="0" applyFont="1" applyAlignment="1">
      <alignment wrapText="1" readingOrder="1"/>
    </xf>
    <xf numFmtId="0" fontId="4" fillId="0" borderId="6" xfId="0" applyFont="1" applyBorder="1" applyAlignment="1">
      <alignment wrapText="1" readingOrder="1"/>
    </xf>
    <xf numFmtId="0" fontId="5" fillId="0" borderId="5" xfId="0" applyFont="1" applyBorder="1" applyAlignment="1">
      <alignment readingOrder="1"/>
    </xf>
    <xf numFmtId="0" fontId="5" fillId="0" borderId="6" xfId="0" applyFont="1" applyBorder="1" applyAlignment="1">
      <alignment wrapText="1" readingOrder="1"/>
    </xf>
    <xf numFmtId="0" fontId="4" fillId="0" borderId="5" xfId="0" applyFont="1" applyBorder="1" applyAlignment="1">
      <alignment wrapText="1"/>
    </xf>
    <xf numFmtId="0" fontId="5" fillId="0" borderId="7" xfId="0" applyFont="1" applyBorder="1" applyAlignment="1">
      <alignment readingOrder="1"/>
    </xf>
    <xf numFmtId="0" fontId="5" fillId="0" borderId="8" xfId="0" applyFont="1" applyBorder="1" applyAlignment="1">
      <alignment wrapText="1" readingOrder="1"/>
    </xf>
    <xf numFmtId="0" fontId="5" fillId="0" borderId="9" xfId="0" applyFont="1" applyBorder="1" applyAlignment="1">
      <alignment wrapText="1" readingOrder="1"/>
    </xf>
    <xf numFmtId="0" fontId="5" fillId="0" borderId="0" xfId="0" applyFont="1" applyAlignment="1">
      <alignment wrapText="1"/>
    </xf>
    <xf numFmtId="0" fontId="4" fillId="0" borderId="0" xfId="0" applyFont="1" applyAlignment="1">
      <alignment readingOrder="1"/>
    </xf>
    <xf numFmtId="0" fontId="5" fillId="0" borderId="0" xfId="0" applyFont="1" applyAlignment="1">
      <alignment readingOrder="1"/>
    </xf>
    <xf numFmtId="0" fontId="5" fillId="0" borderId="12" xfId="0" applyFont="1" applyBorder="1" applyAlignment="1">
      <alignment wrapText="1"/>
    </xf>
    <xf numFmtId="0" fontId="4" fillId="0" borderId="1" xfId="0" applyFont="1" applyBorder="1" applyAlignment="1">
      <alignment wrapText="1" readingOrder="1"/>
    </xf>
    <xf numFmtId="0" fontId="5" fillId="0" borderId="1" xfId="0" applyFont="1" applyBorder="1" applyAlignment="1">
      <alignment wrapText="1" readingOrder="1"/>
    </xf>
    <xf numFmtId="0" fontId="4" fillId="0" borderId="0" xfId="0" applyFont="1" applyAlignment="1">
      <alignment wrapText="1"/>
    </xf>
    <xf numFmtId="0" fontId="80" fillId="0" borderId="0" xfId="0" applyFont="1" applyAlignment="1">
      <alignment horizontal="center" vertical="center"/>
    </xf>
    <xf numFmtId="0" fontId="61" fillId="32" borderId="100" xfId="0" applyFont="1" applyFill="1" applyBorder="1" applyAlignment="1">
      <alignment horizontal="center"/>
    </xf>
    <xf numFmtId="0" fontId="61" fillId="30" borderId="101" xfId="0" applyFont="1" applyFill="1" applyBorder="1" applyAlignment="1">
      <alignment horizontal="center"/>
    </xf>
    <xf numFmtId="0" fontId="63" fillId="33" borderId="81" xfId="0" applyFont="1" applyFill="1" applyBorder="1" applyAlignment="1">
      <alignment horizontal="center"/>
    </xf>
    <xf numFmtId="0" fontId="79" fillId="34" borderId="85" xfId="0" applyFont="1" applyFill="1" applyBorder="1" applyAlignment="1">
      <alignment horizontal="center"/>
    </xf>
    <xf numFmtId="1" fontId="65" fillId="31" borderId="81" xfId="0" applyNumberFormat="1" applyFont="1" applyFill="1" applyBorder="1" applyAlignment="1">
      <alignment horizontal="center"/>
    </xf>
    <xf numFmtId="0" fontId="11" fillId="36" borderId="85" xfId="0" applyFont="1" applyFill="1" applyBorder="1" applyAlignment="1">
      <alignment horizontal="center"/>
    </xf>
    <xf numFmtId="1" fontId="65" fillId="36" borderId="81" xfId="0" applyNumberFormat="1" applyFont="1" applyFill="1" applyBorder="1" applyAlignment="1">
      <alignment horizontal="center"/>
    </xf>
    <xf numFmtId="1" fontId="65" fillId="36" borderId="102" xfId="0" applyNumberFormat="1" applyFont="1" applyFill="1" applyBorder="1" applyAlignment="1">
      <alignment horizontal="center"/>
    </xf>
    <xf numFmtId="0" fontId="11" fillId="36" borderId="103" xfId="0" applyFont="1" applyFill="1" applyBorder="1" applyAlignment="1">
      <alignment horizontal="center"/>
    </xf>
    <xf numFmtId="0" fontId="11" fillId="36" borderId="104" xfId="0" applyFont="1" applyFill="1" applyBorder="1" applyAlignment="1">
      <alignment horizontal="center"/>
    </xf>
    <xf numFmtId="0" fontId="60" fillId="35" borderId="53" xfId="0" applyFont="1" applyFill="1" applyBorder="1" applyAlignment="1">
      <alignment horizontal="center"/>
    </xf>
    <xf numFmtId="0" fontId="60" fillId="30" borderId="0" xfId="0" applyFont="1" applyFill="1" applyAlignment="1">
      <alignment horizontal="center"/>
    </xf>
    <xf numFmtId="0" fontId="57" fillId="26" borderId="15" xfId="0" applyFont="1" applyFill="1" applyBorder="1" applyAlignment="1">
      <alignment horizontal="center"/>
    </xf>
    <xf numFmtId="0" fontId="57" fillId="26" borderId="16" xfId="0" applyFont="1" applyFill="1" applyBorder="1" applyAlignment="1">
      <alignment horizontal="center"/>
    </xf>
    <xf numFmtId="0" fontId="57" fillId="26" borderId="17" xfId="0" applyFont="1" applyFill="1" applyBorder="1" applyAlignment="1">
      <alignment horizontal="center"/>
    </xf>
    <xf numFmtId="0" fontId="57" fillId="3" borderId="18" xfId="0" applyFont="1" applyFill="1" applyBorder="1" applyAlignment="1">
      <alignment horizontal="center"/>
    </xf>
    <xf numFmtId="0" fontId="57" fillId="3" borderId="19" xfId="0" applyFont="1" applyFill="1" applyBorder="1" applyAlignment="1">
      <alignment horizontal="center"/>
    </xf>
    <xf numFmtId="0" fontId="57" fillId="3" borderId="20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 wrapText="1"/>
    </xf>
    <xf numFmtId="0" fontId="0" fillId="0" borderId="54" xfId="0" applyBorder="1" applyAlignment="1"/>
    <xf numFmtId="0" fontId="0" fillId="0" borderId="55" xfId="0" applyBorder="1" applyAlignment="1"/>
    <xf numFmtId="0" fontId="0" fillId="0" borderId="0" xfId="0" applyAlignment="1"/>
  </cellXfs>
  <cellStyles count="1">
    <cellStyle name="Normal" xfId="0" builtinId="0"/>
  </cellStyles>
  <dxfs count="12">
    <dxf>
      <font>
        <color rgb="FFFFFFFF"/>
      </font>
      <fill>
        <patternFill patternType="solid">
          <fgColor indexed="64"/>
          <bgColor rgb="FFCD7F32"/>
        </patternFill>
      </fill>
    </dxf>
    <dxf>
      <font>
        <color rgb="FF000000"/>
      </font>
      <fill>
        <patternFill patternType="solid">
          <fgColor indexed="64"/>
          <bgColor rgb="FFC0C0C0"/>
        </patternFill>
      </fill>
    </dxf>
    <dxf>
      <font>
        <color rgb="FF000000"/>
      </font>
      <fill>
        <patternFill patternType="solid">
          <fgColor indexed="64"/>
          <bgColor rgb="FFFFD700"/>
        </patternFill>
      </fill>
    </dxf>
    <dxf>
      <font>
        <color rgb="FFFFFFFF"/>
      </font>
      <fill>
        <patternFill patternType="solid">
          <fgColor indexed="64"/>
          <bgColor rgb="FFCD7F32"/>
        </patternFill>
      </fill>
    </dxf>
    <dxf>
      <font>
        <color rgb="FF000000"/>
      </font>
      <fill>
        <patternFill patternType="solid">
          <fgColor indexed="64"/>
          <bgColor rgb="FFC0C0C0"/>
        </patternFill>
      </fill>
    </dxf>
    <dxf>
      <font>
        <color rgb="FF000000"/>
      </font>
      <fill>
        <patternFill patternType="solid">
          <fgColor indexed="64"/>
          <bgColor rgb="FFFFD700"/>
        </patternFill>
      </fill>
    </dxf>
    <dxf>
      <font>
        <b/>
        <i val="0"/>
        <color rgb="FFFFFFFF"/>
      </font>
      <fill>
        <patternFill patternType="solid">
          <fgColor indexed="64"/>
          <bgColor rgb="FFCD7F32"/>
        </patternFill>
      </fill>
    </dxf>
    <dxf>
      <font>
        <b/>
        <i val="0"/>
      </font>
      <fill>
        <patternFill patternType="solid">
          <fgColor indexed="64"/>
          <bgColor rgb="FFC0C0C0"/>
        </patternFill>
      </fill>
    </dxf>
    <dxf>
      <font>
        <b/>
        <i val="0"/>
      </font>
      <fill>
        <patternFill patternType="solid">
          <fgColor indexed="64"/>
          <bgColor rgb="FFFFD700"/>
        </patternFill>
      </fill>
    </dxf>
    <dxf>
      <font>
        <b/>
        <i val="0"/>
        <color rgb="FFFFFFFF"/>
      </font>
      <fill>
        <patternFill patternType="solid">
          <fgColor indexed="64"/>
          <bgColor rgb="FFCD7F32"/>
        </patternFill>
      </fill>
    </dxf>
    <dxf>
      <font>
        <b/>
        <i val="0"/>
      </font>
      <fill>
        <patternFill patternType="solid">
          <fgColor indexed="64"/>
          <bgColor rgb="FFC0C0C0"/>
        </patternFill>
      </fill>
    </dxf>
    <dxf>
      <font>
        <b/>
        <i val="0"/>
      </font>
      <fill>
        <patternFill patternType="solid">
          <fgColor indexed="64"/>
          <bgColor rgb="FFFFD7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Priority Score — All Models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'Simulation v.3'!$BA$1</c:f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'Simulation v.3'!$AZ$2:$AZ$7</c:f>
            </c:strRef>
          </c:cat>
          <c:val>
            <c:numRef>
              <c:f>'Simulation v.3'!$BA$2:$BA$7</c:f>
            </c:numRef>
          </c:val>
          <c:extLst>
            <c:ext xmlns:c16="http://schemas.microsoft.com/office/drawing/2014/chart" uri="{C3380CC4-5D6E-409C-BE32-E72D297353CC}">
              <c16:uniqueId val="{00000000-801F-4117-B7AC-C4786CE928E1}"/>
            </c:ext>
          </c:extLst>
        </c:ser>
        <c:ser>
          <c:idx val="1"/>
          <c:order val="1"/>
          <c:tx>
            <c:strRef>
              <c:f>'Simulation v.3'!$BB$1</c:f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'Simulation v.3'!$AZ$2:$AZ$7</c:f>
            </c:strRef>
          </c:cat>
          <c:val>
            <c:numRef>
              <c:f>'Simulation v.3'!$BB$2:$BB$7</c:f>
            </c:numRef>
          </c:val>
          <c:extLst>
            <c:ext xmlns:c16="http://schemas.microsoft.com/office/drawing/2014/chart" uri="{C3380CC4-5D6E-409C-BE32-E72D297353CC}">
              <c16:uniqueId val="{00000002-801F-4117-B7AC-C4786CE928E1}"/>
            </c:ext>
          </c:extLst>
        </c:ser>
        <c:ser>
          <c:idx val="2"/>
          <c:order val="2"/>
          <c:tx>
            <c:strRef>
              <c:f>'Simulation v.3'!$BC$1</c:f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'Simulation v.3'!$AZ$2:$AZ$7</c:f>
            </c:strRef>
          </c:cat>
          <c:val>
            <c:numRef>
              <c:f>'Simulation v.3'!$BC$2:$BC$7</c:f>
            </c:numRef>
          </c:val>
          <c:extLst>
            <c:ext xmlns:c16="http://schemas.microsoft.com/office/drawing/2014/chart" uri="{C3380CC4-5D6E-409C-BE32-E72D297353CC}">
              <c16:uniqueId val="{00000004-801F-4117-B7AC-C4786CE928E1}"/>
            </c:ext>
          </c:extLst>
        </c:ser>
        <c:ser>
          <c:idx val="3"/>
          <c:order val="3"/>
          <c:tx>
            <c:strRef>
              <c:f>'Simulation v.3'!$BD$1</c:f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'Simulation v.3'!$AZ$2:$AZ$7</c:f>
            </c:strRef>
          </c:cat>
          <c:val>
            <c:numRef>
              <c:f>'Simulation v.3'!$BD$2:$BD$7</c:f>
            </c:numRef>
          </c:val>
          <c:extLst>
            <c:ext xmlns:c16="http://schemas.microsoft.com/office/drawing/2014/chart" uri="{C3380CC4-5D6E-409C-BE32-E72D297353CC}">
              <c16:uniqueId val="{00000006-801F-4117-B7AC-C4786CE92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1993480"/>
        <c:axId val="662010888"/>
      </c:barChart>
      <c:catAx>
        <c:axId val="6619934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Waitlist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010888"/>
        <c:crosses val="autoZero"/>
        <c:auto val="1"/>
        <c:lblAlgn val="ctr"/>
        <c:lblOffset val="100"/>
        <c:noMultiLvlLbl val="0"/>
      </c:catAx>
      <c:valAx>
        <c:axId val="662010888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Priority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993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18</xdr:row>
      <xdr:rowOff>0</xdr:rowOff>
    </xdr:from>
    <xdr:to>
      <xdr:col>26</xdr:col>
      <xdr:colOff>238125</xdr:colOff>
      <xdr:row>39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76CA56C-9F54-D72D-1272-A1A713DD83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4</xdr:row>
      <xdr:rowOff>123825</xdr:rowOff>
    </xdr:from>
    <xdr:to>
      <xdr:col>7</xdr:col>
      <xdr:colOff>219075</xdr:colOff>
      <xdr:row>4</xdr:row>
      <xdr:rowOff>123825</xdr:rowOff>
    </xdr:to>
    <xdr:cxnSp macro="">
      <xdr:nvCxnSpPr>
        <xdr:cNvPr id="4" name="Conector de Seta Reta 1">
          <a:extLst>
            <a:ext uri="{FF2B5EF4-FFF2-40B4-BE49-F238E27FC236}">
              <a16:creationId xmlns:a16="http://schemas.microsoft.com/office/drawing/2014/main" id="{63A24086-0EC8-41BE-8B4E-9BDC7D2DC823}"/>
            </a:ext>
          </a:extLst>
        </xdr:cNvPr>
        <xdr:cNvCxnSpPr/>
      </xdr:nvCxnSpPr>
      <xdr:spPr>
        <a:xfrm>
          <a:off x="5448300" y="885825"/>
          <a:ext cx="18192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elipe Morgan" id="{9C4A9F62-8D61-4B96-8420-4EE74C61F604}" userId="S::felipe.morgan@collinsongroup.com::d7fb4767-4a48-4b5f-897b-59a17252c01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6-03-23T17:50:47.98" personId="{9C4A9F62-8D61-4B96-8420-4EE74C61F604}" id="{ECABD389-21BA-4382-B902-05AEC752E105}">
    <text>Should we make 20 USD the minimum? the 0</text>
  </threadedComment>
  <threadedComment ref="B12" dT="2026-03-23T17:51:20.04" personId="{9C4A9F62-8D61-4B96-8420-4EE74C61F604}" id="{1520C6AF-7B91-4045-9499-6DB1460AE21E}">
    <text xml:space="preserve">Maybe for revenue should start relative
normalization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99D7163-D68A-4103-9442-5C84CC626525}">
  <we:reference id="WA200009404" version="1.0.0.8" store="pt-br" storeType="omex"/>
  <we:alternateReferences>
    <we:reference id="WA200009404" version="1.0.0.8" store="pt-br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822F-2A39-47E8-8334-3C2D7D7BF954}">
  <dimension ref="A1:B25"/>
  <sheetViews>
    <sheetView tabSelected="1" workbookViewId="0">
      <selection activeCell="B22" sqref="B22"/>
    </sheetView>
  </sheetViews>
  <sheetFormatPr defaultRowHeight="15"/>
  <cols>
    <col min="1" max="1" width="21.28515625" customWidth="1"/>
    <col min="2" max="2" width="143" customWidth="1"/>
  </cols>
  <sheetData>
    <row r="1" spans="1:2" ht="23.25">
      <c r="A1" s="39" t="s">
        <v>0</v>
      </c>
      <c r="B1" s="350"/>
    </row>
    <row r="2" spans="1:2" ht="16.5">
      <c r="A2" s="40" t="s">
        <v>1</v>
      </c>
      <c r="B2" s="350"/>
    </row>
    <row r="3" spans="1:2">
      <c r="A3" s="350"/>
      <c r="B3" s="350"/>
    </row>
    <row r="4" spans="1:2">
      <c r="A4" s="42" t="s">
        <v>2</v>
      </c>
      <c r="B4" s="350"/>
    </row>
    <row r="5" spans="1:2">
      <c r="A5" s="42" t="s">
        <v>3</v>
      </c>
      <c r="B5" s="350"/>
    </row>
    <row r="6" spans="1:2">
      <c r="A6" s="350"/>
      <c r="B6" s="350"/>
    </row>
    <row r="7" spans="1:2">
      <c r="A7" s="43" t="s">
        <v>4</v>
      </c>
      <c r="B7" s="43" t="s">
        <v>5</v>
      </c>
    </row>
    <row r="8" spans="1:2">
      <c r="A8" s="44" t="s">
        <v>6</v>
      </c>
      <c r="B8" s="44" t="s">
        <v>7</v>
      </c>
    </row>
    <row r="9" spans="1:2">
      <c r="A9" s="44" t="s">
        <v>8</v>
      </c>
      <c r="B9" s="44" t="s">
        <v>9</v>
      </c>
    </row>
    <row r="10" spans="1:2">
      <c r="A10" s="44" t="s">
        <v>10</v>
      </c>
      <c r="B10" s="44" t="s">
        <v>11</v>
      </c>
    </row>
    <row r="11" spans="1:2">
      <c r="A11" s="44" t="s">
        <v>12</v>
      </c>
      <c r="B11" s="44" t="s">
        <v>13</v>
      </c>
    </row>
    <row r="12" spans="1:2">
      <c r="A12" s="44" t="s">
        <v>14</v>
      </c>
      <c r="B12" s="44" t="s">
        <v>15</v>
      </c>
    </row>
    <row r="13" spans="1:2">
      <c r="A13" s="44" t="s">
        <v>16</v>
      </c>
      <c r="B13" s="44" t="s">
        <v>17</v>
      </c>
    </row>
    <row r="14" spans="1:2">
      <c r="A14" s="44" t="s">
        <v>18</v>
      </c>
      <c r="B14" s="44" t="s">
        <v>19</v>
      </c>
    </row>
    <row r="15" spans="1:2">
      <c r="A15" s="44" t="s">
        <v>20</v>
      </c>
      <c r="B15" s="44" t="s">
        <v>21</v>
      </c>
    </row>
    <row r="16" spans="1:2">
      <c r="A16" s="44" t="s">
        <v>22</v>
      </c>
      <c r="B16" s="44" t="s">
        <v>23</v>
      </c>
    </row>
    <row r="17" spans="1:2">
      <c r="A17" s="44" t="s">
        <v>24</v>
      </c>
      <c r="B17" s="44" t="s">
        <v>25</v>
      </c>
    </row>
    <row r="18" spans="1:2">
      <c r="A18" s="44" t="s">
        <v>26</v>
      </c>
      <c r="B18" s="44" t="s">
        <v>27</v>
      </c>
    </row>
    <row r="19" spans="1:2">
      <c r="A19" s="44" t="s">
        <v>28</v>
      </c>
      <c r="B19" s="44" t="s">
        <v>29</v>
      </c>
    </row>
    <row r="20" spans="1:2">
      <c r="A20" s="350"/>
      <c r="B20" s="350"/>
    </row>
    <row r="21" spans="1:2">
      <c r="A21" s="350"/>
      <c r="B21" s="350"/>
    </row>
    <row r="22" spans="1:2">
      <c r="A22" s="350"/>
      <c r="B22" s="350"/>
    </row>
    <row r="23" spans="1:2">
      <c r="A23" s="350"/>
      <c r="B23" s="350"/>
    </row>
    <row r="24" spans="1:2">
      <c r="A24" s="350"/>
      <c r="B24" s="350"/>
    </row>
    <row r="25" spans="1:2">
      <c r="A25" s="350"/>
      <c r="B25" s="35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356ED-DFB7-4A96-AA31-D8A5DB1BB89D}">
  <dimension ref="A1:I81"/>
  <sheetViews>
    <sheetView workbookViewId="0">
      <selection activeCell="G27" sqref="G27"/>
    </sheetView>
  </sheetViews>
  <sheetFormatPr defaultRowHeight="15"/>
  <cols>
    <col min="1" max="1" width="28.42578125" customWidth="1"/>
    <col min="2" max="2" width="33.28515625" customWidth="1"/>
    <col min="3" max="5" width="31" customWidth="1"/>
    <col min="6" max="6" width="40.42578125" customWidth="1"/>
    <col min="7" max="7" width="20.85546875" customWidth="1"/>
    <col min="8" max="8" width="21.85546875" customWidth="1"/>
    <col min="9" max="9" width="22.7109375" customWidth="1"/>
  </cols>
  <sheetData>
    <row r="1" spans="1:9" ht="18">
      <c r="A1" s="104" t="s">
        <v>30</v>
      </c>
    </row>
    <row r="2" spans="1:9">
      <c r="A2" s="46" t="s">
        <v>31</v>
      </c>
    </row>
    <row r="4" spans="1:9" ht="15.75">
      <c r="A4" s="56" t="s">
        <v>32</v>
      </c>
    </row>
    <row r="5" spans="1:9">
      <c r="A5" s="47" t="s">
        <v>33</v>
      </c>
      <c r="B5" s="47" t="s">
        <v>34</v>
      </c>
      <c r="C5" s="47" t="s">
        <v>35</v>
      </c>
      <c r="D5" s="47" t="s">
        <v>36</v>
      </c>
      <c r="E5" s="47" t="s">
        <v>37</v>
      </c>
      <c r="F5" s="47" t="s">
        <v>38</v>
      </c>
      <c r="G5" s="47" t="s">
        <v>39</v>
      </c>
      <c r="H5" s="47" t="s">
        <v>40</v>
      </c>
    </row>
    <row r="6" spans="1:9">
      <c r="A6" s="60" t="s">
        <v>41</v>
      </c>
      <c r="B6" s="60" t="s">
        <v>42</v>
      </c>
      <c r="C6" s="60">
        <v>1</v>
      </c>
      <c r="D6" s="60">
        <v>15</v>
      </c>
      <c r="E6" s="60" t="s">
        <v>43</v>
      </c>
      <c r="F6" s="60">
        <v>50</v>
      </c>
      <c r="G6" s="60">
        <v>20</v>
      </c>
      <c r="H6" s="60" t="s">
        <v>44</v>
      </c>
    </row>
    <row r="7" spans="1:9">
      <c r="A7" s="62" t="s">
        <v>45</v>
      </c>
      <c r="B7" s="62" t="s">
        <v>46</v>
      </c>
      <c r="C7" s="62">
        <v>2</v>
      </c>
      <c r="D7" s="62">
        <v>10</v>
      </c>
      <c r="E7" s="62" t="s">
        <v>47</v>
      </c>
      <c r="F7" s="62">
        <v>120</v>
      </c>
      <c r="G7" s="62">
        <v>90</v>
      </c>
      <c r="H7" s="62" t="s">
        <v>48</v>
      </c>
    </row>
    <row r="8" spans="1:9">
      <c r="A8" s="60" t="s">
        <v>49</v>
      </c>
      <c r="B8" s="60" t="s">
        <v>50</v>
      </c>
      <c r="C8" s="60">
        <v>3</v>
      </c>
      <c r="D8" s="60">
        <v>5</v>
      </c>
      <c r="E8" s="60" t="s">
        <v>51</v>
      </c>
      <c r="F8" s="60">
        <v>180</v>
      </c>
      <c r="G8" s="60">
        <v>150</v>
      </c>
      <c r="H8" s="60" t="s">
        <v>52</v>
      </c>
    </row>
    <row r="10" spans="1:9" ht="15.75">
      <c r="A10" s="56" t="s">
        <v>53</v>
      </c>
    </row>
    <row r="11" spans="1:9" ht="30">
      <c r="A11" s="47" t="s">
        <v>33</v>
      </c>
      <c r="B11" s="47" t="s">
        <v>54</v>
      </c>
      <c r="C11" s="47" t="s">
        <v>55</v>
      </c>
      <c r="D11" s="47" t="s">
        <v>56</v>
      </c>
      <c r="E11" s="47" t="s">
        <v>57</v>
      </c>
      <c r="F11" s="47" t="s">
        <v>58</v>
      </c>
      <c r="G11" s="47" t="s">
        <v>59</v>
      </c>
      <c r="H11" s="47" t="s">
        <v>60</v>
      </c>
      <c r="I11" s="47" t="s">
        <v>61</v>
      </c>
    </row>
    <row r="12" spans="1:9">
      <c r="A12" s="60" t="s">
        <v>41</v>
      </c>
      <c r="B12" s="60">
        <v>100</v>
      </c>
      <c r="C12" s="60">
        <v>100</v>
      </c>
      <c r="D12" s="60" t="s">
        <v>62</v>
      </c>
      <c r="E12" s="60">
        <v>30</v>
      </c>
      <c r="F12" s="60">
        <v>0</v>
      </c>
      <c r="G12" s="60" t="s">
        <v>63</v>
      </c>
      <c r="H12" s="60">
        <v>80</v>
      </c>
      <c r="I12" s="60">
        <v>80</v>
      </c>
    </row>
    <row r="13" spans="1:9">
      <c r="A13" s="62" t="s">
        <v>45</v>
      </c>
      <c r="B13" s="62">
        <v>85</v>
      </c>
      <c r="C13" s="62">
        <v>55</v>
      </c>
      <c r="D13" s="62" t="s">
        <v>64</v>
      </c>
      <c r="E13" s="62">
        <v>20</v>
      </c>
      <c r="F13" s="62">
        <v>0</v>
      </c>
      <c r="G13" s="62" t="s">
        <v>65</v>
      </c>
      <c r="H13" s="62">
        <v>45</v>
      </c>
      <c r="I13" s="62">
        <v>70</v>
      </c>
    </row>
    <row r="14" spans="1:9">
      <c r="A14" s="60" t="s">
        <v>49</v>
      </c>
      <c r="B14" s="60">
        <v>70</v>
      </c>
      <c r="C14" s="60">
        <v>15</v>
      </c>
      <c r="D14" s="60" t="s">
        <v>66</v>
      </c>
      <c r="E14" s="60">
        <v>10</v>
      </c>
      <c r="F14" s="60">
        <v>0</v>
      </c>
      <c r="G14" s="60" t="s">
        <v>67</v>
      </c>
      <c r="H14" s="60">
        <v>0</v>
      </c>
      <c r="I14" s="60">
        <v>60</v>
      </c>
    </row>
    <row r="17" spans="1:7" ht="15.75">
      <c r="A17" s="56" t="s">
        <v>68</v>
      </c>
    </row>
    <row r="18" spans="1:7">
      <c r="A18" s="47" t="s">
        <v>33</v>
      </c>
      <c r="B18" s="47" t="s">
        <v>69</v>
      </c>
      <c r="C18" s="47" t="s">
        <v>70</v>
      </c>
      <c r="D18" s="47" t="s">
        <v>71</v>
      </c>
      <c r="E18" s="47" t="s">
        <v>72</v>
      </c>
      <c r="F18" s="47" t="s">
        <v>73</v>
      </c>
      <c r="G18" s="47" t="s">
        <v>74</v>
      </c>
    </row>
    <row r="19" spans="1:7">
      <c r="A19" s="60" t="s">
        <v>41</v>
      </c>
      <c r="B19" s="60" t="s">
        <v>75</v>
      </c>
      <c r="C19" s="60" t="s">
        <v>76</v>
      </c>
      <c r="D19" s="60" t="s">
        <v>77</v>
      </c>
      <c r="E19" s="60" t="s">
        <v>78</v>
      </c>
      <c r="F19" s="60">
        <v>66.400000000000006</v>
      </c>
      <c r="G19" s="115" t="s">
        <v>79</v>
      </c>
    </row>
    <row r="20" spans="1:7">
      <c r="A20" s="62" t="s">
        <v>45</v>
      </c>
      <c r="B20" s="62" t="s">
        <v>80</v>
      </c>
      <c r="C20" s="62" t="s">
        <v>81</v>
      </c>
      <c r="D20" s="62" t="s">
        <v>82</v>
      </c>
      <c r="E20" s="62" t="s">
        <v>83</v>
      </c>
      <c r="F20" s="62">
        <v>46.9</v>
      </c>
      <c r="G20" s="62" t="s">
        <v>84</v>
      </c>
    </row>
    <row r="21" spans="1:7">
      <c r="A21" s="60" t="s">
        <v>49</v>
      </c>
      <c r="B21" s="60" t="s">
        <v>85</v>
      </c>
      <c r="C21" s="60" t="s">
        <v>86</v>
      </c>
      <c r="D21" s="60" t="s">
        <v>87</v>
      </c>
      <c r="E21" s="60" t="s">
        <v>88</v>
      </c>
      <c r="F21" s="60">
        <v>26.1</v>
      </c>
      <c r="G21" s="60" t="s">
        <v>89</v>
      </c>
    </row>
    <row r="23" spans="1:7">
      <c r="A23" s="116" t="s">
        <v>90</v>
      </c>
    </row>
    <row r="24" spans="1:7">
      <c r="A24" s="42" t="s">
        <v>91</v>
      </c>
    </row>
    <row r="25" spans="1:7">
      <c r="A25" s="42" t="s">
        <v>92</v>
      </c>
    </row>
    <row r="26" spans="1:7">
      <c r="A26" s="42" t="s">
        <v>93</v>
      </c>
    </row>
    <row r="29" spans="1:7" ht="18">
      <c r="A29" s="104" t="s">
        <v>94</v>
      </c>
    </row>
    <row r="30" spans="1:7">
      <c r="A30" s="46" t="s">
        <v>95</v>
      </c>
    </row>
    <row r="32" spans="1:7" ht="15.75">
      <c r="A32" s="56" t="s">
        <v>96</v>
      </c>
    </row>
    <row r="33" spans="1:8">
      <c r="A33" s="47" t="s">
        <v>33</v>
      </c>
      <c r="B33" s="47" t="s">
        <v>34</v>
      </c>
      <c r="C33" s="47" t="s">
        <v>97</v>
      </c>
      <c r="D33" s="47" t="s">
        <v>36</v>
      </c>
      <c r="E33" s="47" t="s">
        <v>38</v>
      </c>
      <c r="F33" s="47" t="s">
        <v>98</v>
      </c>
      <c r="G33" s="47" t="s">
        <v>40</v>
      </c>
      <c r="H33" s="47" t="s">
        <v>99</v>
      </c>
    </row>
    <row r="34" spans="1:8">
      <c r="A34" s="60" t="s">
        <v>49</v>
      </c>
      <c r="B34" s="60" t="s">
        <v>50</v>
      </c>
      <c r="C34" s="60">
        <v>1</v>
      </c>
      <c r="D34" s="60">
        <v>40</v>
      </c>
      <c r="E34" s="60">
        <v>180</v>
      </c>
      <c r="F34" s="60">
        <v>150</v>
      </c>
      <c r="G34" s="60" t="s">
        <v>52</v>
      </c>
      <c r="H34" s="60">
        <v>5</v>
      </c>
    </row>
    <row r="35" spans="1:8">
      <c r="A35" s="62" t="s">
        <v>41</v>
      </c>
      <c r="B35" s="62" t="s">
        <v>42</v>
      </c>
      <c r="C35" s="62">
        <v>2</v>
      </c>
      <c r="D35" s="62">
        <v>35</v>
      </c>
      <c r="E35" s="62">
        <v>60</v>
      </c>
      <c r="F35" s="62">
        <v>30</v>
      </c>
      <c r="G35" s="62" t="s">
        <v>44</v>
      </c>
      <c r="H35" s="62">
        <v>4</v>
      </c>
    </row>
    <row r="36" spans="1:8">
      <c r="A36" s="60" t="s">
        <v>45</v>
      </c>
      <c r="B36" s="60" t="s">
        <v>46</v>
      </c>
      <c r="C36" s="60">
        <v>4</v>
      </c>
      <c r="D36" s="60">
        <v>5</v>
      </c>
      <c r="E36" s="60">
        <v>120</v>
      </c>
      <c r="F36" s="60">
        <v>90</v>
      </c>
      <c r="G36" s="60" t="s">
        <v>48</v>
      </c>
      <c r="H36" s="60">
        <v>0</v>
      </c>
    </row>
    <row r="38" spans="1:8" ht="15.75">
      <c r="A38" s="56" t="s">
        <v>100</v>
      </c>
    </row>
    <row r="39" spans="1:8">
      <c r="A39" s="47" t="s">
        <v>33</v>
      </c>
      <c r="B39" s="47" t="s">
        <v>101</v>
      </c>
      <c r="C39" s="47" t="s">
        <v>102</v>
      </c>
      <c r="D39" s="47" t="s">
        <v>103</v>
      </c>
      <c r="E39" s="47" t="s">
        <v>104</v>
      </c>
    </row>
    <row r="40" spans="1:8">
      <c r="A40" s="60" t="s">
        <v>49</v>
      </c>
      <c r="B40" s="60" t="s">
        <v>105</v>
      </c>
      <c r="C40" s="60" t="s">
        <v>106</v>
      </c>
      <c r="D40" s="60" t="s">
        <v>107</v>
      </c>
      <c r="E40" s="60" t="s">
        <v>108</v>
      </c>
    </row>
    <row r="41" spans="1:8">
      <c r="A41" s="62" t="s">
        <v>41</v>
      </c>
      <c r="B41" s="62" t="s">
        <v>109</v>
      </c>
      <c r="C41" s="62" t="s">
        <v>110</v>
      </c>
      <c r="D41" s="62" t="s">
        <v>111</v>
      </c>
      <c r="E41" s="62" t="s">
        <v>112</v>
      </c>
    </row>
    <row r="42" spans="1:8">
      <c r="A42" s="60" t="s">
        <v>45</v>
      </c>
      <c r="B42" s="60" t="s">
        <v>113</v>
      </c>
      <c r="C42" s="60" t="s">
        <v>114</v>
      </c>
      <c r="D42" s="60" t="s">
        <v>115</v>
      </c>
      <c r="E42" s="60" t="s">
        <v>116</v>
      </c>
    </row>
    <row r="44" spans="1:8" ht="15.75">
      <c r="A44" s="56" t="s">
        <v>117</v>
      </c>
    </row>
    <row r="45" spans="1:8">
      <c r="A45" s="47" t="s">
        <v>33</v>
      </c>
      <c r="B45" s="47" t="s">
        <v>69</v>
      </c>
      <c r="C45" s="47" t="s">
        <v>70</v>
      </c>
      <c r="D45" s="47" t="s">
        <v>71</v>
      </c>
      <c r="E45" s="47" t="s">
        <v>72</v>
      </c>
      <c r="F45" s="47" t="s">
        <v>73</v>
      </c>
      <c r="G45" s="47" t="s">
        <v>74</v>
      </c>
    </row>
    <row r="46" spans="1:8">
      <c r="A46" s="60" t="s">
        <v>41</v>
      </c>
      <c r="B46" s="60" t="s">
        <v>118</v>
      </c>
      <c r="C46" s="60" t="s">
        <v>119</v>
      </c>
      <c r="D46" s="60" t="s">
        <v>120</v>
      </c>
      <c r="E46" s="60" t="s">
        <v>121</v>
      </c>
      <c r="F46" s="60">
        <v>76.5</v>
      </c>
      <c r="G46" s="60" t="s">
        <v>79</v>
      </c>
    </row>
    <row r="47" spans="1:8">
      <c r="A47" s="62" t="s">
        <v>49</v>
      </c>
      <c r="B47" s="62" t="s">
        <v>122</v>
      </c>
      <c r="C47" s="62" t="s">
        <v>123</v>
      </c>
      <c r="D47" s="62" t="s">
        <v>124</v>
      </c>
      <c r="E47" s="62" t="s">
        <v>125</v>
      </c>
      <c r="F47" s="62">
        <v>49.5</v>
      </c>
      <c r="G47" s="62" t="s">
        <v>84</v>
      </c>
    </row>
    <row r="48" spans="1:8">
      <c r="A48" s="60" t="s">
        <v>45</v>
      </c>
      <c r="B48" s="60" t="s">
        <v>126</v>
      </c>
      <c r="C48" s="60" t="s">
        <v>127</v>
      </c>
      <c r="D48" s="60" t="s">
        <v>128</v>
      </c>
      <c r="E48" s="60" t="s">
        <v>129</v>
      </c>
      <c r="F48" s="60">
        <v>42.1</v>
      </c>
      <c r="G48" s="60" t="s">
        <v>89</v>
      </c>
    </row>
    <row r="50" spans="1:9">
      <c r="A50" s="42" t="s">
        <v>130</v>
      </c>
    </row>
    <row r="53" spans="1:9" ht="18">
      <c r="A53" s="104" t="s">
        <v>131</v>
      </c>
      <c r="B53" s="350"/>
      <c r="C53" s="350"/>
      <c r="D53" s="350"/>
      <c r="E53" s="350"/>
      <c r="F53" s="350"/>
      <c r="G53" s="350"/>
      <c r="H53" s="350"/>
      <c r="I53" s="350"/>
    </row>
    <row r="54" spans="1:9">
      <c r="A54" s="46" t="s">
        <v>132</v>
      </c>
      <c r="B54" s="350"/>
      <c r="C54" s="350"/>
      <c r="D54" s="350"/>
      <c r="E54" s="350"/>
      <c r="F54" s="350"/>
      <c r="G54" s="350"/>
      <c r="H54" s="350"/>
      <c r="I54" s="350"/>
    </row>
    <row r="55" spans="1:9">
      <c r="A55" s="350"/>
      <c r="B55" s="350"/>
      <c r="C55" s="350"/>
      <c r="D55" s="350"/>
      <c r="E55" s="350"/>
      <c r="F55" s="350"/>
      <c r="G55" s="350"/>
      <c r="H55" s="350"/>
      <c r="I55" s="350"/>
    </row>
    <row r="56" spans="1:9" ht="15.75">
      <c r="A56" s="56" t="s">
        <v>96</v>
      </c>
      <c r="B56" s="350"/>
      <c r="C56" s="350"/>
      <c r="D56" s="350"/>
      <c r="E56" s="350"/>
      <c r="F56" s="350"/>
      <c r="G56" s="350"/>
      <c r="H56" s="350"/>
      <c r="I56" s="350"/>
    </row>
    <row r="57" spans="1:9">
      <c r="A57" s="47" t="s">
        <v>33</v>
      </c>
      <c r="B57" s="47" t="s">
        <v>34</v>
      </c>
      <c r="C57" s="47" t="s">
        <v>97</v>
      </c>
      <c r="D57" s="47" t="s">
        <v>36</v>
      </c>
      <c r="E57" s="47" t="s">
        <v>38</v>
      </c>
      <c r="F57" s="47" t="s">
        <v>98</v>
      </c>
      <c r="G57" s="47" t="s">
        <v>40</v>
      </c>
      <c r="H57" s="47" t="s">
        <v>133</v>
      </c>
      <c r="I57" s="350"/>
    </row>
    <row r="58" spans="1:9">
      <c r="A58" s="60" t="s">
        <v>41</v>
      </c>
      <c r="B58" s="60" t="s">
        <v>50</v>
      </c>
      <c r="C58" s="60">
        <v>1</v>
      </c>
      <c r="D58" s="60">
        <v>20</v>
      </c>
      <c r="E58" s="60">
        <v>120</v>
      </c>
      <c r="F58" s="60">
        <v>90</v>
      </c>
      <c r="G58" s="60" t="s">
        <v>52</v>
      </c>
      <c r="H58" s="60" t="s">
        <v>52</v>
      </c>
      <c r="I58" s="350"/>
    </row>
    <row r="59" spans="1:9">
      <c r="A59" s="62" t="s">
        <v>49</v>
      </c>
      <c r="B59" s="62" t="s">
        <v>42</v>
      </c>
      <c r="C59" s="62">
        <v>2</v>
      </c>
      <c r="D59" s="62">
        <v>18</v>
      </c>
      <c r="E59" s="62">
        <v>120</v>
      </c>
      <c r="F59" s="62">
        <v>90</v>
      </c>
      <c r="G59" s="62" t="s">
        <v>44</v>
      </c>
      <c r="H59" s="62" t="s">
        <v>134</v>
      </c>
      <c r="I59" s="350"/>
    </row>
    <row r="60" spans="1:9">
      <c r="A60" s="60" t="s">
        <v>45</v>
      </c>
      <c r="B60" s="60" t="s">
        <v>135</v>
      </c>
      <c r="C60" s="60">
        <v>5</v>
      </c>
      <c r="D60" s="60">
        <v>15</v>
      </c>
      <c r="E60" s="60">
        <v>120</v>
      </c>
      <c r="F60" s="60">
        <v>90</v>
      </c>
      <c r="G60" s="60" t="s">
        <v>136</v>
      </c>
      <c r="H60" s="60" t="s">
        <v>137</v>
      </c>
      <c r="I60" s="350"/>
    </row>
    <row r="61" spans="1:9">
      <c r="A61" s="350"/>
      <c r="B61" s="350"/>
      <c r="C61" s="350"/>
      <c r="D61" s="350"/>
      <c r="E61" s="350"/>
      <c r="F61" s="350"/>
      <c r="G61" s="350"/>
      <c r="H61" s="350"/>
      <c r="I61" s="350"/>
    </row>
    <row r="62" spans="1:9" ht="15.75">
      <c r="A62" s="56" t="s">
        <v>100</v>
      </c>
      <c r="B62" s="350"/>
      <c r="C62" s="350"/>
      <c r="D62" s="350"/>
      <c r="E62" s="350"/>
      <c r="F62" s="350"/>
      <c r="G62" s="350"/>
      <c r="H62" s="350"/>
      <c r="I62" s="350"/>
    </row>
    <row r="63" spans="1:9">
      <c r="A63" s="47" t="s">
        <v>33</v>
      </c>
      <c r="B63" s="47" t="s">
        <v>101</v>
      </c>
      <c r="C63" s="47" t="s">
        <v>102</v>
      </c>
      <c r="D63" s="47" t="s">
        <v>103</v>
      </c>
      <c r="E63" s="47" t="s">
        <v>104</v>
      </c>
      <c r="F63" s="350"/>
      <c r="G63" s="350"/>
      <c r="H63" s="350"/>
      <c r="I63" s="350"/>
    </row>
    <row r="64" spans="1:9">
      <c r="A64" s="60" t="s">
        <v>41</v>
      </c>
      <c r="B64" s="60" t="s">
        <v>138</v>
      </c>
      <c r="C64" s="60" t="s">
        <v>139</v>
      </c>
      <c r="D64" s="60" t="s">
        <v>115</v>
      </c>
      <c r="E64" s="60" t="s">
        <v>108</v>
      </c>
      <c r="F64" s="350"/>
      <c r="G64" s="350"/>
      <c r="H64" s="350"/>
      <c r="I64" s="350"/>
    </row>
    <row r="65" spans="1:9">
      <c r="A65" s="62" t="s">
        <v>49</v>
      </c>
      <c r="B65" s="62" t="s">
        <v>140</v>
      </c>
      <c r="C65" s="62" t="s">
        <v>139</v>
      </c>
      <c r="D65" s="62" t="s">
        <v>115</v>
      </c>
      <c r="E65" s="62" t="s">
        <v>112</v>
      </c>
      <c r="F65" s="350"/>
      <c r="G65" s="350"/>
      <c r="H65" s="350"/>
      <c r="I65" s="350"/>
    </row>
    <row r="66" spans="1:9">
      <c r="A66" s="60" t="s">
        <v>45</v>
      </c>
      <c r="B66" s="60" t="s">
        <v>141</v>
      </c>
      <c r="C66" s="60" t="s">
        <v>142</v>
      </c>
      <c r="D66" s="60" t="s">
        <v>115</v>
      </c>
      <c r="E66" s="60" t="s">
        <v>143</v>
      </c>
      <c r="F66" s="350"/>
      <c r="G66" s="350"/>
      <c r="H66" s="350"/>
      <c r="I66" s="350"/>
    </row>
    <row r="67" spans="1:9">
      <c r="A67" s="350"/>
      <c r="B67" s="350"/>
      <c r="C67" s="350"/>
      <c r="D67" s="350"/>
      <c r="E67" s="350"/>
      <c r="F67" s="350"/>
      <c r="G67" s="350"/>
      <c r="H67" s="350"/>
      <c r="I67" s="350"/>
    </row>
    <row r="68" spans="1:9" ht="15.75">
      <c r="A68" s="56" t="s">
        <v>144</v>
      </c>
      <c r="B68" s="350"/>
      <c r="C68" s="350"/>
      <c r="D68" s="350"/>
      <c r="E68" s="350"/>
      <c r="F68" s="350"/>
      <c r="G68" s="350"/>
      <c r="H68" s="350"/>
      <c r="I68" s="350"/>
    </row>
    <row r="69" spans="1:9">
      <c r="A69" s="47" t="s">
        <v>33</v>
      </c>
      <c r="B69" s="47" t="s">
        <v>145</v>
      </c>
      <c r="C69" s="47" t="s">
        <v>70</v>
      </c>
      <c r="D69" s="47" t="s">
        <v>146</v>
      </c>
      <c r="E69" s="47" t="s">
        <v>147</v>
      </c>
      <c r="F69" s="47" t="s">
        <v>73</v>
      </c>
      <c r="G69" s="47" t="s">
        <v>74</v>
      </c>
      <c r="H69" s="350"/>
      <c r="I69" s="350"/>
    </row>
    <row r="70" spans="1:9">
      <c r="A70" s="60" t="s">
        <v>45</v>
      </c>
      <c r="B70" s="60" t="s">
        <v>148</v>
      </c>
      <c r="C70" s="60" t="s">
        <v>123</v>
      </c>
      <c r="D70" s="60" t="s">
        <v>149</v>
      </c>
      <c r="E70" s="60" t="s">
        <v>150</v>
      </c>
      <c r="F70" s="60">
        <v>66.8</v>
      </c>
      <c r="G70" s="60" t="s">
        <v>79</v>
      </c>
      <c r="H70" s="350"/>
      <c r="I70" s="350"/>
    </row>
    <row r="71" spans="1:9">
      <c r="A71" s="62" t="s">
        <v>49</v>
      </c>
      <c r="B71" s="62" t="s">
        <v>151</v>
      </c>
      <c r="C71" s="62" t="s">
        <v>152</v>
      </c>
      <c r="D71" s="62" t="s">
        <v>153</v>
      </c>
      <c r="E71" s="62" t="s">
        <v>150</v>
      </c>
      <c r="F71" s="62">
        <v>63.2</v>
      </c>
      <c r="G71" s="62" t="s">
        <v>84</v>
      </c>
      <c r="H71" s="350"/>
      <c r="I71" s="350"/>
    </row>
    <row r="72" spans="1:9">
      <c r="A72" s="60" t="s">
        <v>41</v>
      </c>
      <c r="B72" s="60" t="s">
        <v>154</v>
      </c>
      <c r="C72" s="60" t="s">
        <v>155</v>
      </c>
      <c r="D72" s="60" t="s">
        <v>153</v>
      </c>
      <c r="E72" s="60" t="s">
        <v>150</v>
      </c>
      <c r="F72" s="60">
        <v>55.7</v>
      </c>
      <c r="G72" s="60" t="s">
        <v>89</v>
      </c>
      <c r="H72" s="350"/>
      <c r="I72" s="350"/>
    </row>
    <row r="73" spans="1:9">
      <c r="A73" s="351"/>
      <c r="B73" s="351"/>
      <c r="C73" s="351"/>
      <c r="D73" s="351"/>
      <c r="E73" s="351"/>
      <c r="F73" s="351"/>
      <c r="G73" s="351"/>
      <c r="H73" s="350"/>
      <c r="I73" s="350"/>
    </row>
    <row r="74" spans="1:9" ht="51">
      <c r="A74" s="118" t="s">
        <v>156</v>
      </c>
      <c r="B74" s="351"/>
      <c r="C74" s="351"/>
      <c r="D74" s="351"/>
      <c r="E74" s="351"/>
      <c r="F74" s="351"/>
      <c r="G74" s="351"/>
      <c r="H74" s="350"/>
      <c r="I74" s="350"/>
    </row>
    <row r="75" spans="1:9" ht="102">
      <c r="A75" s="118" t="s">
        <v>157</v>
      </c>
      <c r="B75" s="351"/>
      <c r="C75" s="351"/>
      <c r="D75" s="351"/>
      <c r="E75" s="351"/>
      <c r="F75" s="351"/>
      <c r="G75" s="351"/>
      <c r="H75" s="350"/>
      <c r="I75" s="350"/>
    </row>
    <row r="76" spans="1:9">
      <c r="A76" s="117" t="s">
        <v>158</v>
      </c>
      <c r="B76" s="350"/>
      <c r="C76" s="350"/>
      <c r="D76" s="350"/>
      <c r="E76" s="350"/>
      <c r="F76" s="350"/>
      <c r="G76" s="350"/>
      <c r="H76" s="350"/>
      <c r="I76" s="350"/>
    </row>
    <row r="77" spans="1:9">
      <c r="A77" s="350"/>
      <c r="B77" s="350"/>
      <c r="C77" s="350"/>
      <c r="D77" s="350"/>
      <c r="E77" s="350"/>
      <c r="F77" s="350"/>
      <c r="G77" s="350"/>
      <c r="H77" s="350"/>
      <c r="I77" s="350"/>
    </row>
    <row r="78" spans="1:9">
      <c r="A78" s="350"/>
      <c r="B78" s="350"/>
      <c r="C78" s="350"/>
      <c r="D78" s="350"/>
      <c r="E78" s="350"/>
      <c r="F78" s="350"/>
      <c r="G78" s="350"/>
      <c r="H78" s="350"/>
      <c r="I78" s="350"/>
    </row>
    <row r="79" spans="1:9">
      <c r="A79" s="350"/>
      <c r="B79" s="350"/>
      <c r="C79" s="350"/>
      <c r="D79" s="350"/>
      <c r="E79" s="350"/>
      <c r="F79" s="350"/>
      <c r="G79" s="350"/>
      <c r="H79" s="350"/>
      <c r="I79" s="350"/>
    </row>
    <row r="80" spans="1:9">
      <c r="A80" s="350"/>
      <c r="B80" s="350"/>
      <c r="C80" s="350"/>
      <c r="D80" s="350"/>
      <c r="E80" s="350"/>
      <c r="F80" s="350"/>
      <c r="G80" s="350"/>
      <c r="H80" s="350"/>
      <c r="I80" s="350"/>
    </row>
    <row r="81" spans="1:9">
      <c r="A81" s="350"/>
      <c r="B81" s="350"/>
      <c r="C81" s="350"/>
      <c r="D81" s="350"/>
      <c r="E81" s="350"/>
      <c r="F81" s="350"/>
      <c r="G81" s="350"/>
      <c r="H81" s="350"/>
      <c r="I81" s="35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5CD7-837C-4B98-A38E-5B4FA5BA46B1}">
  <dimension ref="A1:BD17"/>
  <sheetViews>
    <sheetView topLeftCell="J1" workbookViewId="0">
      <selection activeCell="Q15" sqref="Q15"/>
    </sheetView>
  </sheetViews>
  <sheetFormatPr defaultRowHeight="15" outlineLevelCol="1"/>
  <cols>
    <col min="1" max="1" width="23.5703125" customWidth="1"/>
    <col min="2" max="2" width="14.28515625" customWidth="1"/>
    <col min="3" max="3" width="25.7109375" customWidth="1"/>
    <col min="4" max="4" width="17.140625" customWidth="1"/>
    <col min="5" max="5" width="27.140625" customWidth="1"/>
    <col min="6" max="8" width="11.42578125" customWidth="1"/>
    <col min="9" max="9" width="14.28515625" customWidth="1"/>
    <col min="10" max="10" width="26.140625" customWidth="1"/>
    <col min="11" max="11" width="33.28515625" customWidth="1"/>
    <col min="12" max="13" width="19" customWidth="1"/>
    <col min="14" max="14" width="5.7109375" customWidth="1"/>
    <col min="15" max="15" width="21" customWidth="1"/>
    <col min="16" max="16" width="18.140625" customWidth="1"/>
    <col min="17" max="17" width="15.28515625" customWidth="1"/>
    <col min="18" max="18" width="8.5703125" customWidth="1"/>
    <col min="19" max="19" width="3.85546875" customWidth="1"/>
    <col min="20" max="20" width="9.5703125" customWidth="1"/>
    <col min="21" max="21" width="15.28515625" customWidth="1"/>
    <col min="22" max="22" width="18.140625" customWidth="1"/>
    <col min="23" max="23" width="20" customWidth="1"/>
    <col min="24" max="24" width="18.140625" customWidth="1"/>
    <col min="27" max="50" width="9.140625" outlineLevel="1"/>
    <col min="52" max="56" width="9.140625" hidden="1" customWidth="1"/>
  </cols>
  <sheetData>
    <row r="1" spans="1:56">
      <c r="A1" s="383" t="s">
        <v>159</v>
      </c>
      <c r="B1" s="394"/>
      <c r="C1" s="394"/>
      <c r="D1" s="395"/>
      <c r="I1" s="383" t="s">
        <v>160</v>
      </c>
      <c r="J1" s="394"/>
      <c r="K1" s="394"/>
      <c r="L1" s="394"/>
      <c r="M1" s="395"/>
      <c r="O1" s="208" t="s">
        <v>161</v>
      </c>
      <c r="P1" s="204" t="s">
        <v>162</v>
      </c>
      <c r="Q1" s="221" t="s">
        <v>163</v>
      </c>
      <c r="R1" s="222"/>
      <c r="T1" s="384" t="s">
        <v>164</v>
      </c>
      <c r="U1" s="396"/>
      <c r="V1" s="396"/>
      <c r="W1" s="396"/>
      <c r="X1" s="396"/>
      <c r="AA1" t="s">
        <v>165</v>
      </c>
      <c r="AB1" t="s">
        <v>166</v>
      </c>
      <c r="AD1" t="s">
        <v>167</v>
      </c>
      <c r="AE1" t="s">
        <v>168</v>
      </c>
      <c r="AG1" t="s">
        <v>169</v>
      </c>
      <c r="AH1" t="s">
        <v>170</v>
      </c>
      <c r="AJ1" t="s">
        <v>171</v>
      </c>
      <c r="AK1" t="s">
        <v>172</v>
      </c>
      <c r="AM1" t="s">
        <v>99</v>
      </c>
      <c r="AN1" t="s">
        <v>173</v>
      </c>
      <c r="AP1" t="s">
        <v>174</v>
      </c>
      <c r="AQ1" t="s">
        <v>175</v>
      </c>
      <c r="AR1" t="s">
        <v>176</v>
      </c>
      <c r="AT1" s="35" t="s">
        <v>177</v>
      </c>
      <c r="AU1" s="35" t="s">
        <v>178</v>
      </c>
      <c r="AV1" s="35" t="s">
        <v>179</v>
      </c>
      <c r="AW1" s="35" t="s">
        <v>180</v>
      </c>
      <c r="AZ1" t="s">
        <v>33</v>
      </c>
      <c r="BA1" t="s">
        <v>162</v>
      </c>
      <c r="BB1" t="s">
        <v>181</v>
      </c>
      <c r="BC1" t="s">
        <v>182</v>
      </c>
      <c r="BD1" t="s">
        <v>183</v>
      </c>
    </row>
    <row r="2" spans="1:56">
      <c r="A2" s="185" t="s">
        <v>184</v>
      </c>
      <c r="B2" s="186" t="s">
        <v>185</v>
      </c>
      <c r="C2" s="186" t="s">
        <v>186</v>
      </c>
      <c r="D2" s="187" t="s">
        <v>187</v>
      </c>
      <c r="I2" s="185" t="s">
        <v>184</v>
      </c>
      <c r="J2" s="186" t="s">
        <v>56</v>
      </c>
      <c r="K2" s="186" t="s">
        <v>59</v>
      </c>
      <c r="L2" s="186" t="s">
        <v>188</v>
      </c>
      <c r="M2" s="187" t="s">
        <v>73</v>
      </c>
      <c r="O2" s="209" t="s">
        <v>189</v>
      </c>
      <c r="P2" s="205" t="s">
        <v>190</v>
      </c>
      <c r="Q2" s="225" t="s">
        <v>191</v>
      </c>
      <c r="R2" s="226" t="s">
        <v>74</v>
      </c>
      <c r="T2" s="180" t="s">
        <v>33</v>
      </c>
      <c r="U2" s="180" t="s">
        <v>162</v>
      </c>
      <c r="V2" s="180" t="s">
        <v>181</v>
      </c>
      <c r="W2" s="180" t="s">
        <v>182</v>
      </c>
      <c r="X2" s="180" t="s">
        <v>183</v>
      </c>
      <c r="AA2">
        <v>1</v>
      </c>
      <c r="AB2">
        <v>100</v>
      </c>
      <c r="AD2">
        <v>20</v>
      </c>
      <c r="AE2">
        <v>100</v>
      </c>
      <c r="AG2">
        <v>15</v>
      </c>
      <c r="AH2">
        <v>100</v>
      </c>
      <c r="AJ2">
        <v>5</v>
      </c>
      <c r="AK2">
        <v>10</v>
      </c>
      <c r="AM2">
        <v>0</v>
      </c>
      <c r="AN2">
        <v>0</v>
      </c>
      <c r="AP2" t="s">
        <v>42</v>
      </c>
      <c r="AQ2">
        <v>27</v>
      </c>
      <c r="AR2">
        <v>80</v>
      </c>
      <c r="AT2" t="s">
        <v>162</v>
      </c>
      <c r="AU2">
        <v>0.35</v>
      </c>
      <c r="AV2">
        <v>0.3</v>
      </c>
      <c r="AW2">
        <v>0.35</v>
      </c>
      <c r="AZ2" t="str">
        <f>"G"&amp;T3</f>
        <v>G1</v>
      </c>
      <c r="BA2" s="151">
        <f>U3</f>
        <v>75.5</v>
      </c>
      <c r="BB2" s="151">
        <f>V3</f>
        <v>80</v>
      </c>
      <c r="BC2" s="151">
        <f>W3</f>
        <v>86</v>
      </c>
      <c r="BD2" s="151">
        <f>X3</f>
        <v>59</v>
      </c>
    </row>
    <row r="3" spans="1:56">
      <c r="A3" s="184">
        <v>1</v>
      </c>
      <c r="B3" s="188">
        <v>1</v>
      </c>
      <c r="C3" s="188">
        <v>50</v>
      </c>
      <c r="D3" s="189">
        <v>15</v>
      </c>
      <c r="I3" s="184">
        <f>A3</f>
        <v>1</v>
      </c>
      <c r="J3" s="202">
        <f>MIN(100,IFERROR(VLOOKUP(B3,AA2:AB7,2,FALSE),IF(B3&gt;=6,25,50))*$P$9)</f>
        <v>100</v>
      </c>
      <c r="K3" s="202">
        <f>VLOOKUP(D3,AJ2:AK12,2,TRUE)</f>
        <v>30</v>
      </c>
      <c r="L3" s="202">
        <f>VLOOKUP(C3,AG2:AH10,2,TRUE)</f>
        <v>90</v>
      </c>
      <c r="M3" s="203">
        <f>($P$4*J3)+($P$5*K3)+($P$6*L3)</f>
        <v>75.5</v>
      </c>
      <c r="O3" s="210"/>
      <c r="Q3" s="223">
        <f>IF(D3&gt;60,999,M3)</f>
        <v>75.5</v>
      </c>
      <c r="R3" s="224">
        <f>RANK(Q3,$Q$3:$Q$8,0)</f>
        <v>2</v>
      </c>
      <c r="T3">
        <f>A3</f>
        <v>1</v>
      </c>
      <c r="U3" s="151">
        <f>IF(D3&gt;60,999,(INDEX(AT2:AW5,MATCH("Balanced",AT2:AT5,0),2)*J3)+(INDEX(AT2:AW5,MATCH("Balanced",AT2:AT5,0),3)*K3)+(INDEX(AT2:AW5,MATCH("Balanced",AT2:AT5,0),4)*L3))</f>
        <v>75.5</v>
      </c>
      <c r="V3" s="151">
        <f>IF(D3&gt;60,999,(INDEX(AT2:AW5,MATCH("Revenue Focus",AT2:AT5,0),2)*J3)+(INDEX(AT2:AW5,MATCH("Revenue Focus",AT2:AT5,0),3)*K3)+(INDEX(AT2:AW5,MATCH("Revenue Focus",AT2:AT5,0),4)*L3))</f>
        <v>80</v>
      </c>
      <c r="W3" s="151">
        <f>IF(D3&gt;60,999,(INDEX(AT2:AW5,MATCH("Efficiency Focus",AT2:AT5,0),2)*J3)+(INDEX(AT2:AW5,MATCH("Efficiency Focus",AT2:AT5,0),3)*K3)+(INDEX(AT2:AW5,MATCH("Efficiency Focus",AT2:AT5,0),4)*L3))</f>
        <v>86</v>
      </c>
      <c r="X3" s="151">
        <f>IF(D3&gt;60,999,(INDEX(AT2:AW5,MATCH("Fairness First",AT2:AT5,0),2)*J3)+(INDEX(AT2:AW5,MATCH("Fairness First",AT2:AT5,0),3)*K3)+(INDEX(AT2:AW5,MATCH("Fairness First",AT2:AT5,0),4)*L3))</f>
        <v>59</v>
      </c>
      <c r="AA3">
        <v>2</v>
      </c>
      <c r="AB3">
        <v>85</v>
      </c>
      <c r="AD3">
        <v>40</v>
      </c>
      <c r="AE3">
        <v>85</v>
      </c>
      <c r="AG3">
        <v>30</v>
      </c>
      <c r="AH3">
        <v>95</v>
      </c>
      <c r="AJ3">
        <v>10</v>
      </c>
      <c r="AK3">
        <v>20</v>
      </c>
      <c r="AM3">
        <v>1</v>
      </c>
      <c r="AN3">
        <v>15</v>
      </c>
      <c r="AP3" t="s">
        <v>50</v>
      </c>
      <c r="AQ3">
        <v>24</v>
      </c>
      <c r="AR3">
        <v>60</v>
      </c>
      <c r="AT3" t="s">
        <v>181</v>
      </c>
      <c r="AU3">
        <v>0.2</v>
      </c>
      <c r="AV3">
        <v>0.2</v>
      </c>
      <c r="AW3">
        <v>0.6</v>
      </c>
      <c r="AZ3" t="str">
        <f>"G"&amp;T4</f>
        <v>G2</v>
      </c>
      <c r="BA3" s="151">
        <f>U4</f>
        <v>51.5</v>
      </c>
      <c r="BB3" s="151">
        <f>V4</f>
        <v>48</v>
      </c>
      <c r="BC3" s="151">
        <f>W4</f>
        <v>61.25</v>
      </c>
      <c r="BD3" s="151">
        <f>X4</f>
        <v>39.25</v>
      </c>
    </row>
    <row r="4" spans="1:56" ht="26.25">
      <c r="A4" s="182">
        <v>2</v>
      </c>
      <c r="B4" s="190">
        <v>2</v>
      </c>
      <c r="C4" s="190">
        <v>120</v>
      </c>
      <c r="D4" s="191">
        <v>10</v>
      </c>
      <c r="F4" s="196" t="s">
        <v>192</v>
      </c>
      <c r="H4" t="s">
        <v>192</v>
      </c>
      <c r="I4" s="182">
        <f>A4</f>
        <v>2</v>
      </c>
      <c r="J4" s="199">
        <f>MIN(100,IFERROR(VLOOKUP(B4,AA2:AB7,2,FALSE),IF(B4&gt;=6,25,50))*$P$9)</f>
        <v>85</v>
      </c>
      <c r="K4" s="199">
        <f>VLOOKUP(D4,AJ2:AK12,2,TRUE)</f>
        <v>20</v>
      </c>
      <c r="L4" s="199">
        <f>VLOOKUP(C4,AG2:AH10,2,TRUE)</f>
        <v>45</v>
      </c>
      <c r="M4" s="198">
        <f>($P$4*J4)+($P$5*K4)+($P$6*L4)</f>
        <v>51.5</v>
      </c>
      <c r="N4" s="196" t="s">
        <v>192</v>
      </c>
      <c r="O4" s="211" t="s">
        <v>193</v>
      </c>
      <c r="P4" s="206">
        <f>VLOOKUP($P$1,AT2:AW5,2,FALSE)</f>
        <v>0.35</v>
      </c>
      <c r="Q4" s="217">
        <f>IF(D4&gt;60,999,M4)</f>
        <v>51.5</v>
      </c>
      <c r="R4" s="218">
        <f>RANK(Q4,$Q$3:$Q$8,0)</f>
        <v>4</v>
      </c>
      <c r="T4">
        <f>A4</f>
        <v>2</v>
      </c>
      <c r="U4" s="151">
        <f>IF(D4&gt;60,999,(INDEX(AT2:AW5,MATCH("Balanced",AT2:AT5,0),2)*J4)+(INDEX(AT2:AW5,MATCH("Balanced",AT2:AT5,0),3)*K4)+(INDEX(AT2:AW5,MATCH("Balanced",AT2:AT5,0),4)*L4))</f>
        <v>51.5</v>
      </c>
      <c r="V4" s="151">
        <f>IF(D4&gt;60,999,(INDEX(AT2:AW5,MATCH("Revenue Focus",AT2:AT5,0),2)*J4)+(INDEX(AT2:AW5,MATCH("Revenue Focus",AT2:AT5,0),3)*K4)+(INDEX(AT2:AW5,MATCH("Revenue Focus",AT2:AT5,0),4)*L4))</f>
        <v>48</v>
      </c>
      <c r="W4" s="151">
        <f>IF(D4&gt;60,999,(INDEX(AT2:AW5,MATCH("Efficiency Focus",AT2:AT5,0),2)*J4)+(INDEX(AT2:AW5,MATCH("Efficiency Focus",AT2:AT5,0),3)*K4)+(INDEX(AT2:AW5,MATCH("Efficiency Focus",AT2:AT5,0),4)*L4))</f>
        <v>61.25</v>
      </c>
      <c r="X4" s="151">
        <f>IF(D4&gt;60,999,(INDEX(AT2:AW5,MATCH("Fairness First",AT2:AT5,0),2)*J4)+(INDEX(AT2:AW5,MATCH("Fairness First",AT2:AT5,0),3)*K4)+(INDEX(AT2:AW5,MATCH("Fairness First",AT2:AT5,0),4)*L4))</f>
        <v>39.25</v>
      </c>
      <c r="AA4">
        <v>3</v>
      </c>
      <c r="AB4">
        <v>70</v>
      </c>
      <c r="AD4">
        <v>60</v>
      </c>
      <c r="AE4">
        <v>70</v>
      </c>
      <c r="AG4">
        <v>45</v>
      </c>
      <c r="AH4">
        <v>90</v>
      </c>
      <c r="AJ4">
        <v>15</v>
      </c>
      <c r="AK4">
        <v>30</v>
      </c>
      <c r="AM4">
        <v>2</v>
      </c>
      <c r="AN4">
        <v>30</v>
      </c>
      <c r="AP4" t="s">
        <v>46</v>
      </c>
      <c r="AQ4">
        <v>25</v>
      </c>
      <c r="AR4">
        <v>70</v>
      </c>
      <c r="AT4" t="s">
        <v>182</v>
      </c>
      <c r="AU4">
        <v>0.5</v>
      </c>
      <c r="AV4">
        <v>0.15</v>
      </c>
      <c r="AW4">
        <v>0.35</v>
      </c>
      <c r="AZ4" t="str">
        <f>"G"&amp;T5</f>
        <v>G3</v>
      </c>
      <c r="BA4" s="151">
        <f>U5</f>
        <v>31</v>
      </c>
      <c r="BB4" s="151">
        <f>V5</f>
        <v>22</v>
      </c>
      <c r="BC4" s="151">
        <f>W5</f>
        <v>40</v>
      </c>
      <c r="BD4" s="151">
        <f>X5</f>
        <v>22</v>
      </c>
    </row>
    <row r="5" spans="1:56">
      <c r="A5" s="181">
        <v>3</v>
      </c>
      <c r="B5" s="192">
        <v>3</v>
      </c>
      <c r="C5" s="192">
        <v>180</v>
      </c>
      <c r="D5" s="193">
        <v>5</v>
      </c>
      <c r="I5" s="181">
        <f>A5</f>
        <v>3</v>
      </c>
      <c r="J5" s="197">
        <f>MIN(100,IFERROR(VLOOKUP(B5,AA2:AB7,2,FALSE),IF(B5&gt;=6,25,50))*$P$9)</f>
        <v>70</v>
      </c>
      <c r="K5" s="197">
        <f>VLOOKUP(D5,AJ2:AK12,2,TRUE)</f>
        <v>10</v>
      </c>
      <c r="L5" s="197">
        <f>VLOOKUP(C5,AG2:AH10,2,TRUE)</f>
        <v>10</v>
      </c>
      <c r="M5" s="198">
        <f>($P$4*J5)+($P$5*K5)+($P$6*L5)</f>
        <v>31</v>
      </c>
      <c r="O5" s="211" t="s">
        <v>194</v>
      </c>
      <c r="P5" s="206">
        <f>VLOOKUP($P$1,AT2:AW5,3,FALSE)</f>
        <v>0.3</v>
      </c>
      <c r="Q5" s="215">
        <f>IF(D5&gt;60,999,M5)</f>
        <v>31</v>
      </c>
      <c r="R5" s="216">
        <f>RANK(Q5,$Q$3:$Q$8,0)</f>
        <v>6</v>
      </c>
      <c r="T5">
        <f>A5</f>
        <v>3</v>
      </c>
      <c r="U5" s="151">
        <f>IF(D5&gt;60,999,(INDEX(AT2:AW5,MATCH("Balanced",AT2:AT5,0),2)*J5)+(INDEX(AT2:AW5,MATCH("Balanced",AT2:AT5,0),3)*K5)+(INDEX(AT2:AW5,MATCH("Balanced",AT2:AT5,0),4)*L5))</f>
        <v>31</v>
      </c>
      <c r="V5" s="151">
        <f>IF(D5&gt;60,999,(INDEX(AT2:AW5,MATCH("Revenue Focus",AT2:AT5,0),2)*J5)+(INDEX(AT2:AW5,MATCH("Revenue Focus",AT2:AT5,0),3)*K5)+(INDEX(AT2:AW5,MATCH("Revenue Focus",AT2:AT5,0),4)*L5))</f>
        <v>22</v>
      </c>
      <c r="W5" s="151">
        <f>IF(D5&gt;60,999,(INDEX(AT2:AW5,MATCH("Efficiency Focus",AT2:AT5,0),2)*J5)+(INDEX(AT2:AW5,MATCH("Efficiency Focus",AT2:AT5,0),3)*K5)+(INDEX(AT2:AW5,MATCH("Efficiency Focus",AT2:AT5,0),4)*L5))</f>
        <v>40</v>
      </c>
      <c r="X5" s="151">
        <f>IF(D5&gt;60,999,(INDEX(AT2:AW5,MATCH("Fairness First",AT2:AT5,0),2)*J5)+(INDEX(AT2:AW5,MATCH("Fairness First",AT2:AT5,0),3)*K5)+(INDEX(AT2:AW5,MATCH("Fairness First",AT2:AT5,0),4)*L5))</f>
        <v>22</v>
      </c>
      <c r="AA5">
        <v>4</v>
      </c>
      <c r="AB5">
        <v>55</v>
      </c>
      <c r="AD5">
        <v>90</v>
      </c>
      <c r="AE5">
        <v>55</v>
      </c>
      <c r="AG5">
        <v>60</v>
      </c>
      <c r="AH5">
        <v>80</v>
      </c>
      <c r="AJ5">
        <v>20</v>
      </c>
      <c r="AK5">
        <v>40</v>
      </c>
      <c r="AM5">
        <v>3</v>
      </c>
      <c r="AN5">
        <v>45</v>
      </c>
      <c r="AP5" t="s">
        <v>195</v>
      </c>
      <c r="AQ5">
        <v>35</v>
      </c>
      <c r="AR5">
        <v>100</v>
      </c>
      <c r="AT5" t="s">
        <v>183</v>
      </c>
      <c r="AU5">
        <v>0.2</v>
      </c>
      <c r="AV5">
        <v>0.55000000000000004</v>
      </c>
      <c r="AW5">
        <v>0.25</v>
      </c>
      <c r="AZ5" t="str">
        <f>"G"&amp;T6</f>
        <v>G4</v>
      </c>
      <c r="BA5" s="151">
        <f>U6</f>
        <v>68.25</v>
      </c>
      <c r="BB5" s="151">
        <f>V6</f>
        <v>73</v>
      </c>
      <c r="BC5" s="151">
        <f>W6</f>
        <v>66</v>
      </c>
      <c r="BD5" s="151">
        <f>X6</f>
        <v>69.5</v>
      </c>
    </row>
    <row r="6" spans="1:56">
      <c r="A6" s="182">
        <v>4</v>
      </c>
      <c r="B6" s="190">
        <v>4</v>
      </c>
      <c r="C6" s="190">
        <v>89</v>
      </c>
      <c r="D6" s="191">
        <v>35</v>
      </c>
      <c r="I6" s="182">
        <f>A6</f>
        <v>4</v>
      </c>
      <c r="J6" s="199">
        <f>MIN(100,IFERROR(VLOOKUP(B6,AA2:AB7,2,FALSE),IF(B6&gt;=6,25,50))*$P$9)</f>
        <v>55</v>
      </c>
      <c r="K6" s="199">
        <f>VLOOKUP(D6,AJ2:AK12,2,TRUE)</f>
        <v>70</v>
      </c>
      <c r="L6" s="199">
        <f>VLOOKUP(C6,AG2:AH10,2,TRUE)</f>
        <v>80</v>
      </c>
      <c r="M6" s="198">
        <f>($P$4*J6)+($P$5*K6)+($P$6*L6)</f>
        <v>68.25</v>
      </c>
      <c r="O6" s="211" t="s">
        <v>196</v>
      </c>
      <c r="P6" s="206">
        <f>VLOOKUP($P$1,AT2:AW5,4,FALSE)</f>
        <v>0.35</v>
      </c>
      <c r="Q6" s="217">
        <f>IF(D6&gt;60,999,M6)</f>
        <v>68.25</v>
      </c>
      <c r="R6" s="218">
        <f>RANK(Q6,$Q$3:$Q$8,0)</f>
        <v>3</v>
      </c>
      <c r="T6">
        <f>A6</f>
        <v>4</v>
      </c>
      <c r="U6" s="151">
        <f>IF(D6&gt;60,999,(INDEX(AT2:AW5,MATCH("Balanced",AT2:AT5,0),2)*J6)+(INDEX(AT2:AW5,MATCH("Balanced",AT2:AT5,0),3)*K6)+(INDEX(AT2:AW5,MATCH("Balanced",AT2:AT5,0),4)*L6))</f>
        <v>68.25</v>
      </c>
      <c r="V6" s="151">
        <f>IF(D6&gt;60,999,(INDEX(AT2:AW5,MATCH("Revenue Focus",AT2:AT5,0),2)*J6)+(INDEX(AT2:AW5,MATCH("Revenue Focus",AT2:AT5,0),3)*K6)+(INDEX(AT2:AW5,MATCH("Revenue Focus",AT2:AT5,0),4)*L6))</f>
        <v>73</v>
      </c>
      <c r="W6" s="151">
        <f>IF(D6&gt;60,999,(INDEX(AT2:AW5,MATCH("Efficiency Focus",AT2:AT5,0),2)*J6)+(INDEX(AT2:AW5,MATCH("Efficiency Focus",AT2:AT5,0),3)*K6)+(INDEX(AT2:AW5,MATCH("Efficiency Focus",AT2:AT5,0),4)*L6))</f>
        <v>66</v>
      </c>
      <c r="X6" s="151">
        <f>IF(D6&gt;60,999,(INDEX(AT2:AW5,MATCH("Fairness First",AT2:AT5,0),2)*J6)+(INDEX(AT2:AW5,MATCH("Fairness First",AT2:AT5,0),3)*K6)+(INDEX(AT2:AW5,MATCH("Fairness First",AT2:AT5,0),4)*L6))</f>
        <v>69.5</v>
      </c>
      <c r="AA6">
        <v>5</v>
      </c>
      <c r="AB6">
        <v>40</v>
      </c>
      <c r="AD6">
        <v>120</v>
      </c>
      <c r="AE6">
        <v>40</v>
      </c>
      <c r="AG6">
        <v>90</v>
      </c>
      <c r="AH6">
        <v>65</v>
      </c>
      <c r="AJ6">
        <v>25</v>
      </c>
      <c r="AK6">
        <v>50</v>
      </c>
      <c r="AM6">
        <v>4</v>
      </c>
      <c r="AN6">
        <v>55</v>
      </c>
      <c r="AZ6" t="str">
        <f>"G"&amp;T7</f>
        <v>G5</v>
      </c>
      <c r="BA6" s="151">
        <f>U7</f>
        <v>88.75</v>
      </c>
      <c r="BB6" s="151">
        <f>V7</f>
        <v>93</v>
      </c>
      <c r="BC6" s="151">
        <f>W7</f>
        <v>89.5</v>
      </c>
      <c r="BD6" s="151">
        <f>X7</f>
        <v>86</v>
      </c>
    </row>
    <row r="7" spans="1:56">
      <c r="A7" s="181">
        <v>5</v>
      </c>
      <c r="B7" s="192">
        <v>2</v>
      </c>
      <c r="C7" s="192">
        <v>25</v>
      </c>
      <c r="D7" s="193">
        <v>40</v>
      </c>
      <c r="I7" s="181">
        <f>A7</f>
        <v>5</v>
      </c>
      <c r="J7" s="197">
        <f>MIN(100,IFERROR(VLOOKUP(B7,AA2:AB7,2,FALSE),IF(B7&gt;=6,25,50))*$P$9)</f>
        <v>85</v>
      </c>
      <c r="K7" s="197">
        <f>VLOOKUP(D7,AJ2:AK12,2,TRUE)</f>
        <v>80</v>
      </c>
      <c r="L7" s="197">
        <f>VLOOKUP(C7,AG2:AH10,2,TRUE)</f>
        <v>100</v>
      </c>
      <c r="M7" s="198">
        <f>($P$4*J7)+($P$5*K7)+($P$6*L7)</f>
        <v>88.75</v>
      </c>
      <c r="O7" s="210"/>
      <c r="Q7" s="215">
        <f>IF(D7&gt;60,999,M7)</f>
        <v>88.75</v>
      </c>
      <c r="R7" s="216">
        <f>RANK(Q7,$Q$3:$Q$8,0)</f>
        <v>1</v>
      </c>
      <c r="T7">
        <f>A7</f>
        <v>5</v>
      </c>
      <c r="U7" s="151">
        <f>IF(D7&gt;60,999,(INDEX(AT2:AW5,MATCH("Balanced",AT2:AT5,0),2)*J7)+(INDEX(AT2:AW5,MATCH("Balanced",AT2:AT5,0),3)*K7)+(INDEX(AT2:AW5,MATCH("Balanced",AT2:AT5,0),4)*L7))</f>
        <v>88.75</v>
      </c>
      <c r="V7" s="151">
        <f>IF(D7&gt;60,999,(INDEX(AT2:AW5,MATCH("Revenue Focus",AT2:AT5,0),2)*J7)+(INDEX(AT2:AW5,MATCH("Revenue Focus",AT2:AT5,0),3)*K7)+(INDEX(AT2:AW5,MATCH("Revenue Focus",AT2:AT5,0),4)*L7))</f>
        <v>93</v>
      </c>
      <c r="W7" s="151">
        <f>IF(D7&gt;60,999,(INDEX(AT2:AW5,MATCH("Efficiency Focus",AT2:AT5,0),2)*J7)+(INDEX(AT2:AW5,MATCH("Efficiency Focus",AT2:AT5,0),3)*K7)+(INDEX(AT2:AW5,MATCH("Efficiency Focus",AT2:AT5,0),4)*L7))</f>
        <v>89.5</v>
      </c>
      <c r="X7" s="151">
        <f>IF(D7&gt;60,999,(INDEX(AT2:AW5,MATCH("Fairness First",AT2:AT5,0),2)*J7)+(INDEX(AT2:AW5,MATCH("Fairness First",AT2:AT5,0),3)*K7)+(INDEX(AT2:AW5,MATCH("Fairness First",AT2:AT5,0),4)*L7))</f>
        <v>86</v>
      </c>
      <c r="AA7">
        <v>6</v>
      </c>
      <c r="AB7">
        <v>25</v>
      </c>
      <c r="AD7">
        <v>150</v>
      </c>
      <c r="AE7">
        <v>25</v>
      </c>
      <c r="AG7">
        <v>120</v>
      </c>
      <c r="AH7">
        <v>45</v>
      </c>
      <c r="AJ7">
        <v>30</v>
      </c>
      <c r="AK7">
        <v>60</v>
      </c>
      <c r="AM7">
        <v>5</v>
      </c>
      <c r="AN7">
        <v>65</v>
      </c>
      <c r="AZ7" t="str">
        <f>"G"&amp;T8</f>
        <v>G6</v>
      </c>
      <c r="BA7" s="151">
        <f>U8</f>
        <v>34.75</v>
      </c>
      <c r="BB7" s="151">
        <f>V8</f>
        <v>31</v>
      </c>
      <c r="BC7" s="151">
        <f>W8</f>
        <v>34.75</v>
      </c>
      <c r="BD7" s="151">
        <f>X8</f>
        <v>36.25</v>
      </c>
    </row>
    <row r="8" spans="1:56" ht="37.5">
      <c r="A8" s="183">
        <v>6</v>
      </c>
      <c r="B8" s="194">
        <v>5</v>
      </c>
      <c r="C8" s="194">
        <v>160</v>
      </c>
      <c r="D8" s="195">
        <v>20</v>
      </c>
      <c r="I8" s="183">
        <f>A8</f>
        <v>6</v>
      </c>
      <c r="J8" s="200">
        <f>MIN(100,IFERROR(VLOOKUP(B8,AA2:AB7,2,FALSE),IF(B8&gt;=6,25,50))*$P$9)</f>
        <v>40</v>
      </c>
      <c r="K8" s="200">
        <f>VLOOKUP(D8,AJ2:AK12,2,TRUE)</f>
        <v>40</v>
      </c>
      <c r="L8" s="200">
        <f>VLOOKUP(C8,AG2:AH10,2,TRUE)</f>
        <v>25</v>
      </c>
      <c r="M8" s="201">
        <f>($P$4*J8)+($P$5*K8)+($P$6*L8)</f>
        <v>34.75</v>
      </c>
      <c r="O8" s="212" t="s">
        <v>197</v>
      </c>
      <c r="P8" s="257" t="s">
        <v>198</v>
      </c>
      <c r="Q8" s="219">
        <f>IF(D8&gt;60,999,M8)</f>
        <v>34.75</v>
      </c>
      <c r="R8" s="220">
        <f>RANK(Q8,$Q$3:$Q$8,0)</f>
        <v>5</v>
      </c>
      <c r="T8">
        <f>A8</f>
        <v>6</v>
      </c>
      <c r="U8" s="151">
        <f>IF(D8&gt;60,999,(INDEX(AT2:AW5,MATCH("Balanced",AT2:AT5,0),2)*J8)+(INDEX(AT2:AW5,MATCH("Balanced",AT2:AT5,0),3)*K8)+(INDEX(AT2:AW5,MATCH("Balanced",AT2:AT5,0),4)*L8))</f>
        <v>34.75</v>
      </c>
      <c r="V8" s="151">
        <f>IF(D8&gt;60,999,(INDEX(AT2:AW5,MATCH("Revenue Focus",AT2:AT5,0),2)*J8)+(INDEX(AT2:AW5,MATCH("Revenue Focus",AT2:AT5,0),3)*K8)+(INDEX(AT2:AW5,MATCH("Revenue Focus",AT2:AT5,0),4)*L8))</f>
        <v>31</v>
      </c>
      <c r="W8" s="151">
        <f>IF(D8&gt;60,999,(INDEX(AT2:AW5,MATCH("Efficiency Focus",AT2:AT5,0),2)*J8)+(INDEX(AT2:AW5,MATCH("Efficiency Focus",AT2:AT5,0),3)*K8)+(INDEX(AT2:AW5,MATCH("Efficiency Focus",AT2:AT5,0),4)*L8))</f>
        <v>34.75</v>
      </c>
      <c r="X8" s="151">
        <f>IF(D8&gt;60,999,(INDEX(AT2:AW5,MATCH("Fairness First",AT2:AT5,0),2)*J8)+(INDEX(AT2:AW5,MATCH("Fairness First",AT2:AT5,0),3)*K8)+(INDEX(AT2:AW5,MATCH("Fairness First",AT2:AT5,0),4)*L8))</f>
        <v>36.25</v>
      </c>
      <c r="AD8">
        <v>180</v>
      </c>
      <c r="AE8">
        <v>15</v>
      </c>
      <c r="AG8">
        <v>150</v>
      </c>
      <c r="AH8">
        <v>25</v>
      </c>
      <c r="AJ8">
        <v>35</v>
      </c>
      <c r="AK8">
        <v>70</v>
      </c>
      <c r="AM8">
        <v>6</v>
      </c>
      <c r="AN8">
        <v>75</v>
      </c>
      <c r="AT8" t="s">
        <v>199</v>
      </c>
      <c r="AU8" t="s">
        <v>200</v>
      </c>
    </row>
    <row r="9" spans="1:56">
      <c r="O9" s="213" t="s">
        <v>201</v>
      </c>
      <c r="P9" s="214">
        <f>IF(P2="Low (&lt;50%)",0.8,IF(P2="High (&gt;80%)",1.2,1))</f>
        <v>1</v>
      </c>
      <c r="AD9">
        <v>9999</v>
      </c>
      <c r="AE9">
        <v>10</v>
      </c>
      <c r="AG9">
        <v>180</v>
      </c>
      <c r="AH9">
        <v>10</v>
      </c>
      <c r="AJ9">
        <v>40</v>
      </c>
      <c r="AK9">
        <v>80</v>
      </c>
      <c r="AM9">
        <v>7</v>
      </c>
      <c r="AN9">
        <v>82</v>
      </c>
      <c r="AT9" t="s">
        <v>202</v>
      </c>
      <c r="AU9">
        <v>0.8</v>
      </c>
    </row>
    <row r="10" spans="1:56">
      <c r="A10" s="229" t="s">
        <v>203</v>
      </c>
      <c r="B10" s="177"/>
      <c r="C10" s="178"/>
      <c r="E10" s="244" t="s">
        <v>204</v>
      </c>
      <c r="F10" s="245"/>
      <c r="G10" s="245"/>
      <c r="H10" s="246"/>
      <c r="J10" s="208" t="s">
        <v>205</v>
      </c>
      <c r="K10" s="178"/>
      <c r="T10" s="384" t="s">
        <v>206</v>
      </c>
      <c r="U10" s="396"/>
      <c r="V10" s="396"/>
      <c r="W10" s="396"/>
      <c r="X10" s="396"/>
      <c r="AG10">
        <v>9999</v>
      </c>
      <c r="AH10">
        <v>0</v>
      </c>
      <c r="AJ10">
        <v>50</v>
      </c>
      <c r="AK10">
        <v>90</v>
      </c>
      <c r="AM10">
        <v>8</v>
      </c>
      <c r="AN10">
        <v>90</v>
      </c>
      <c r="AT10" t="s">
        <v>207</v>
      </c>
      <c r="AU10">
        <v>1.2</v>
      </c>
    </row>
    <row r="11" spans="1:56">
      <c r="A11" s="230" t="s">
        <v>208</v>
      </c>
      <c r="B11" s="227" t="s">
        <v>209</v>
      </c>
      <c r="C11" s="232" t="s">
        <v>210</v>
      </c>
      <c r="E11" s="185" t="s">
        <v>177</v>
      </c>
      <c r="F11" s="186" t="s">
        <v>211</v>
      </c>
      <c r="G11" s="186" t="s">
        <v>212</v>
      </c>
      <c r="H11" s="187" t="s">
        <v>213</v>
      </c>
      <c r="J11" s="255" t="s">
        <v>214</v>
      </c>
      <c r="K11" s="256" t="s">
        <v>215</v>
      </c>
      <c r="T11" s="180" t="s">
        <v>33</v>
      </c>
      <c r="U11" s="180" t="s">
        <v>162</v>
      </c>
      <c r="V11" s="180" t="s">
        <v>181</v>
      </c>
      <c r="W11" s="180" t="s">
        <v>182</v>
      </c>
      <c r="X11" s="180" t="s">
        <v>183</v>
      </c>
      <c r="AJ11">
        <v>60</v>
      </c>
      <c r="AK11">
        <v>95</v>
      </c>
      <c r="AM11">
        <v>9</v>
      </c>
      <c r="AN11">
        <v>95</v>
      </c>
    </row>
    <row r="12" spans="1:56">
      <c r="A12" s="231" t="s">
        <v>216</v>
      </c>
      <c r="B12" s="228">
        <v>999</v>
      </c>
      <c r="C12" s="233" t="s">
        <v>217</v>
      </c>
      <c r="E12" s="247" t="s">
        <v>162</v>
      </c>
      <c r="F12" s="248">
        <v>0.35</v>
      </c>
      <c r="G12" s="248">
        <v>0.3</v>
      </c>
      <c r="H12" s="249">
        <v>0.35</v>
      </c>
      <c r="J12" s="253" t="s">
        <v>101</v>
      </c>
      <c r="K12" s="254" t="s">
        <v>218</v>
      </c>
      <c r="T12">
        <f>A3</f>
        <v>1</v>
      </c>
      <c r="U12">
        <f>RANK(U3,$U$3:$U$8,0)</f>
        <v>2</v>
      </c>
      <c r="V12">
        <f>RANK(V3,$V$3:$V$8,0)</f>
        <v>2</v>
      </c>
      <c r="W12">
        <f>RANK(W3,$W$3:$W$8,0)</f>
        <v>2</v>
      </c>
      <c r="X12">
        <f>RANK(X3,$X$3:$X$8,0)</f>
        <v>3</v>
      </c>
      <c r="AJ12">
        <v>9999</v>
      </c>
      <c r="AK12">
        <v>100</v>
      </c>
    </row>
    <row r="13" spans="1:56">
      <c r="E13" s="238" t="s">
        <v>181</v>
      </c>
      <c r="F13" s="239">
        <v>0.2</v>
      </c>
      <c r="G13" s="239">
        <v>0.2</v>
      </c>
      <c r="H13" s="240">
        <v>0.6</v>
      </c>
      <c r="J13" s="234" t="s">
        <v>102</v>
      </c>
      <c r="K13" s="250" t="s">
        <v>219</v>
      </c>
      <c r="T13">
        <f>A4</f>
        <v>2</v>
      </c>
      <c r="U13">
        <f>RANK(U4,$U$3:$U$8,0)</f>
        <v>4</v>
      </c>
      <c r="V13">
        <f>RANK(V4,$V$3:$V$8,0)</f>
        <v>4</v>
      </c>
      <c r="W13">
        <f>RANK(W4,$W$3:$W$8,0)</f>
        <v>4</v>
      </c>
      <c r="X13">
        <f>RANK(X4,$X$3:$X$8,0)</f>
        <v>4</v>
      </c>
    </row>
    <row r="14" spans="1:56">
      <c r="E14" s="235" t="s">
        <v>182</v>
      </c>
      <c r="F14" s="236">
        <v>0.5</v>
      </c>
      <c r="G14" s="236">
        <v>0.15</v>
      </c>
      <c r="H14" s="237">
        <v>0.35</v>
      </c>
      <c r="J14" s="251" t="s">
        <v>103</v>
      </c>
      <c r="K14" s="252" t="s">
        <v>220</v>
      </c>
      <c r="T14">
        <f>A5</f>
        <v>3</v>
      </c>
      <c r="U14">
        <f>RANK(U5,$U$3:$U$8,0)</f>
        <v>6</v>
      </c>
      <c r="V14">
        <f>RANK(V5,$V$3:$V$8,0)</f>
        <v>6</v>
      </c>
      <c r="W14">
        <f>RANK(W5,$W$3:$W$8,0)</f>
        <v>5</v>
      </c>
      <c r="X14">
        <f>RANK(X5,$X$3:$X$8,0)</f>
        <v>6</v>
      </c>
    </row>
    <row r="15" spans="1:56">
      <c r="E15" s="241" t="s">
        <v>183</v>
      </c>
      <c r="F15" s="242">
        <v>0.2</v>
      </c>
      <c r="G15" s="242">
        <v>0.55000000000000004</v>
      </c>
      <c r="H15" s="243">
        <v>0.25</v>
      </c>
      <c r="I15" s="179"/>
      <c r="T15">
        <f>A6</f>
        <v>4</v>
      </c>
      <c r="U15">
        <f>RANK(U6,$U$3:$U$8,0)</f>
        <v>3</v>
      </c>
      <c r="V15">
        <f>RANK(V6,$V$3:$V$8,0)</f>
        <v>3</v>
      </c>
      <c r="W15">
        <f>RANK(W6,$W$3:$W$8,0)</f>
        <v>3</v>
      </c>
      <c r="X15">
        <f>RANK(X6,$X$3:$X$8,0)</f>
        <v>2</v>
      </c>
    </row>
    <row r="16" spans="1:56">
      <c r="T16">
        <f>A7</f>
        <v>5</v>
      </c>
      <c r="U16">
        <f>RANK(U7,$U$3:$U$8,0)</f>
        <v>1</v>
      </c>
      <c r="V16">
        <f>RANK(V7,$V$3:$V$8,0)</f>
        <v>1</v>
      </c>
      <c r="W16">
        <f>RANK(W7,$W$3:$W$8,0)</f>
        <v>1</v>
      </c>
      <c r="X16">
        <f>RANK(X7,$X$3:$X$8,0)</f>
        <v>1</v>
      </c>
    </row>
    <row r="17" spans="20:24">
      <c r="T17">
        <f>A8</f>
        <v>6</v>
      </c>
      <c r="U17">
        <f>RANK(U8,$U$3:$U$8,0)</f>
        <v>5</v>
      </c>
      <c r="V17">
        <f>RANK(V8,$V$3:$V$8,0)</f>
        <v>5</v>
      </c>
      <c r="W17">
        <f>RANK(W8,$W$3:$W$8,0)</f>
        <v>6</v>
      </c>
      <c r="X17">
        <f>RANK(X8,$X$3:$X$8,0)</f>
        <v>5</v>
      </c>
    </row>
  </sheetData>
  <mergeCells count="4">
    <mergeCell ref="A1:D1"/>
    <mergeCell ref="I1:M1"/>
    <mergeCell ref="T1:X1"/>
    <mergeCell ref="T10:X10"/>
  </mergeCells>
  <conditionalFormatting sqref="R3:R8">
    <cfRule type="cellIs" dxfId="11" priority="1" operator="equal">
      <formula>1</formula>
    </cfRule>
  </conditionalFormatting>
  <conditionalFormatting sqref="R3:R8">
    <cfRule type="cellIs" dxfId="10" priority="2" operator="equal">
      <formula>2</formula>
    </cfRule>
  </conditionalFormatting>
  <conditionalFormatting sqref="R3:R8">
    <cfRule type="cellIs" dxfId="9" priority="3" operator="equal">
      <formula>3</formula>
    </cfRule>
  </conditionalFormatting>
  <conditionalFormatting sqref="U12:X17">
    <cfRule type="cellIs" dxfId="8" priority="4" operator="equal">
      <formula>1</formula>
    </cfRule>
  </conditionalFormatting>
  <conditionalFormatting sqref="U12:X17">
    <cfRule type="cellIs" dxfId="7" priority="5" operator="equal">
      <formula>2</formula>
    </cfRule>
  </conditionalFormatting>
  <conditionalFormatting sqref="U12:X17">
    <cfRule type="cellIs" dxfId="6" priority="6" operator="equal">
      <formula>3</formula>
    </cfRule>
  </conditionalFormatting>
  <conditionalFormatting sqref="U3:X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L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InputMessage="1" showErrorMessage="1" sqref="P2" xr:uid="{BCC920AF-DC51-4B00-9FBB-33FB09AC3F50}">
      <formula1>"Low (&lt;50%),Medium,High (&gt;80%)"</formula1>
    </dataValidation>
    <dataValidation type="list" allowBlank="1" showInputMessage="1" showErrorMessage="1" sqref="P1" xr:uid="{EE37E923-19CB-48B4-A2F1-F7D7453CA6DB}">
      <formula1>"Balanced,Revenue Focus,Efficiency Focus,Fairness First"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9DF6B-EE79-47CF-87F1-675161780A18}">
  <dimension ref="A1:BD17"/>
  <sheetViews>
    <sheetView workbookViewId="0">
      <selection activeCell="R26" sqref="R26"/>
    </sheetView>
  </sheetViews>
  <sheetFormatPr defaultRowHeight="15" outlineLevelCol="1"/>
  <cols>
    <col min="1" max="1" width="14.28515625" customWidth="1"/>
    <col min="2" max="2" width="13.28515625" customWidth="1"/>
    <col min="3" max="3" width="21" customWidth="1"/>
    <col min="4" max="4" width="22.85546875" customWidth="1"/>
    <col min="5" max="5" width="16.140625" customWidth="1"/>
    <col min="6" max="6" width="19" customWidth="1"/>
    <col min="7" max="7" width="16.140625" customWidth="1"/>
    <col min="8" max="8" width="6.7109375" customWidth="1"/>
    <col min="9" max="9" width="14.28515625" customWidth="1"/>
    <col min="10" max="13" width="17.140625" customWidth="1"/>
    <col min="14" max="14" width="18.140625" customWidth="1"/>
    <col min="15" max="15" width="20" customWidth="1"/>
    <col min="16" max="16" width="15.28515625" customWidth="1"/>
    <col min="17" max="17" width="16.140625" customWidth="1"/>
    <col min="18" max="18" width="9.5703125" customWidth="1"/>
    <col min="20" max="20" width="22.42578125" customWidth="1"/>
    <col min="21" max="21" width="16.140625" customWidth="1"/>
    <col min="22" max="22" width="18.140625" customWidth="1"/>
    <col min="23" max="23" width="19" customWidth="1"/>
    <col min="24" max="24" width="18.140625" customWidth="1"/>
    <col min="27" max="50" width="9.140625" outlineLevel="1"/>
    <col min="52" max="56" width="0" hidden="1" customWidth="1"/>
  </cols>
  <sheetData>
    <row r="1" spans="1:56">
      <c r="A1" s="262" t="s">
        <v>221</v>
      </c>
      <c r="B1" s="263"/>
      <c r="C1" s="263"/>
      <c r="D1" s="263"/>
      <c r="E1" s="263"/>
      <c r="F1" s="263"/>
      <c r="G1" s="272"/>
      <c r="I1" s="277" t="s">
        <v>222</v>
      </c>
      <c r="J1" s="270"/>
      <c r="K1" s="270"/>
      <c r="L1" s="270"/>
      <c r="M1" s="270"/>
      <c r="N1" s="290"/>
      <c r="O1" s="285" t="s">
        <v>161</v>
      </c>
      <c r="P1" s="284" t="s">
        <v>162</v>
      </c>
      <c r="Q1" s="300" t="s">
        <v>163</v>
      </c>
      <c r="R1" s="373"/>
      <c r="T1" s="374" t="s">
        <v>164</v>
      </c>
      <c r="U1" s="340"/>
      <c r="V1" s="340"/>
      <c r="W1" s="340"/>
      <c r="X1" s="341"/>
      <c r="AA1" t="s">
        <v>165</v>
      </c>
      <c r="AB1" t="s">
        <v>166</v>
      </c>
      <c r="AD1" t="s">
        <v>167</v>
      </c>
      <c r="AE1" t="s">
        <v>168</v>
      </c>
      <c r="AG1" t="s">
        <v>169</v>
      </c>
      <c r="AH1" t="s">
        <v>170</v>
      </c>
      <c r="AJ1" t="s">
        <v>171</v>
      </c>
      <c r="AK1" t="s">
        <v>172</v>
      </c>
      <c r="AM1" t="s">
        <v>99</v>
      </c>
      <c r="AN1" t="s">
        <v>173</v>
      </c>
      <c r="AP1" t="s">
        <v>174</v>
      </c>
      <c r="AQ1" t="s">
        <v>175</v>
      </c>
      <c r="AR1" t="s">
        <v>176</v>
      </c>
      <c r="AT1" t="s">
        <v>177</v>
      </c>
      <c r="AU1" t="s">
        <v>223</v>
      </c>
      <c r="AV1" t="s">
        <v>224</v>
      </c>
      <c r="AW1" t="s">
        <v>225</v>
      </c>
      <c r="AX1" t="s">
        <v>226</v>
      </c>
      <c r="AZ1" t="s">
        <v>33</v>
      </c>
      <c r="BA1" t="s">
        <v>162</v>
      </c>
      <c r="BB1" t="s">
        <v>181</v>
      </c>
      <c r="BC1" t="s">
        <v>182</v>
      </c>
      <c r="BD1" t="s">
        <v>183</v>
      </c>
    </row>
    <row r="2" spans="1:56">
      <c r="A2" s="266" t="s">
        <v>184</v>
      </c>
      <c r="B2" s="267" t="s">
        <v>185</v>
      </c>
      <c r="C2" s="267" t="s">
        <v>227</v>
      </c>
      <c r="D2" s="267" t="s">
        <v>228</v>
      </c>
      <c r="E2" s="267" t="s">
        <v>187</v>
      </c>
      <c r="F2" s="267" t="s">
        <v>229</v>
      </c>
      <c r="G2" s="273" t="s">
        <v>230</v>
      </c>
      <c r="I2" s="278" t="s">
        <v>184</v>
      </c>
      <c r="J2" s="267" t="s">
        <v>231</v>
      </c>
      <c r="K2" s="267" t="s">
        <v>56</v>
      </c>
      <c r="L2" s="267" t="s">
        <v>59</v>
      </c>
      <c r="M2" s="267" t="s">
        <v>188</v>
      </c>
      <c r="N2" s="291" t="s">
        <v>73</v>
      </c>
      <c r="O2" s="286" t="s">
        <v>189</v>
      </c>
      <c r="P2" s="282" t="s">
        <v>190</v>
      </c>
      <c r="Q2" s="296" t="s">
        <v>191</v>
      </c>
      <c r="R2" s="375" t="s">
        <v>74</v>
      </c>
      <c r="T2" s="376" t="s">
        <v>33</v>
      </c>
      <c r="U2" s="338" t="s">
        <v>162</v>
      </c>
      <c r="V2" s="338" t="s">
        <v>181</v>
      </c>
      <c r="W2" s="338" t="s">
        <v>182</v>
      </c>
      <c r="X2" s="342" t="s">
        <v>183</v>
      </c>
      <c r="AA2">
        <v>1</v>
      </c>
      <c r="AB2">
        <v>100</v>
      </c>
      <c r="AD2">
        <v>20</v>
      </c>
      <c r="AE2">
        <v>100</v>
      </c>
      <c r="AG2">
        <v>15</v>
      </c>
      <c r="AH2">
        <v>100</v>
      </c>
      <c r="AJ2">
        <v>5</v>
      </c>
      <c r="AK2">
        <v>10</v>
      </c>
      <c r="AM2">
        <v>0</v>
      </c>
      <c r="AN2">
        <v>0</v>
      </c>
      <c r="AP2" t="s">
        <v>42</v>
      </c>
      <c r="AQ2">
        <v>27</v>
      </c>
      <c r="AR2">
        <v>80</v>
      </c>
      <c r="AT2" t="s">
        <v>162</v>
      </c>
      <c r="AU2">
        <v>0.25</v>
      </c>
      <c r="AV2">
        <v>0.25</v>
      </c>
      <c r="AW2">
        <v>0.3</v>
      </c>
      <c r="AX2">
        <v>0.2</v>
      </c>
      <c r="AZ2" t="str">
        <f>"G"&amp;T3</f>
        <v>G1</v>
      </c>
      <c r="BA2" s="151">
        <f>U3</f>
        <v>68.400000000000006</v>
      </c>
      <c r="BB2" s="151">
        <f>V3</f>
        <v>77.2</v>
      </c>
      <c r="BC2" s="151">
        <f>W3</f>
        <v>78.099999999999994</v>
      </c>
      <c r="BD2" s="151">
        <f>X3</f>
        <v>55</v>
      </c>
    </row>
    <row r="3" spans="1:56">
      <c r="A3" s="264">
        <v>1</v>
      </c>
      <c r="B3" s="265">
        <v>1</v>
      </c>
      <c r="C3" s="265">
        <v>50</v>
      </c>
      <c r="D3" s="265" t="s">
        <v>42</v>
      </c>
      <c r="E3" s="265">
        <v>15</v>
      </c>
      <c r="F3" s="265">
        <v>0</v>
      </c>
      <c r="G3" s="274">
        <v>20</v>
      </c>
      <c r="I3" s="279">
        <f>A3</f>
        <v>1</v>
      </c>
      <c r="J3" s="271">
        <f>IFERROR(VLOOKUP(D3,'Simulation v.3'!AP2:AR5,3,FALSE),50)</f>
        <v>80</v>
      </c>
      <c r="K3" s="271">
        <f>MIN(100,((IFERROR(VLOOKUP(B3,'Simulation v.3'!AA2:AB7,2,FALSE),IF(B3&gt;=6,25,50)))*0.4+(VLOOKUP(G3,'Simulation v.3'!AD2:AE9,2,TRUE))*0.6)*$P$9)</f>
        <v>100</v>
      </c>
      <c r="L3" s="271">
        <f>(VLOOKUP(E3,'Simulation v.3'!AJ2:AK12,2,TRUE))*0.6+(IFERROR(VLOOKUP(F3,'Simulation v.3'!AM2:AN11,2,FALSE),IF(F3&gt;=9,100,50)))*0.4</f>
        <v>18</v>
      </c>
      <c r="M3" s="271">
        <f>VLOOKUP(C3,'Simulation v.3'!AG2:AH10,2,TRUE)</f>
        <v>90</v>
      </c>
      <c r="N3" s="292">
        <f>($P$4*J3)+($P$5*K3)+($P$6*L3)+($P$7*M3)</f>
        <v>68.400000000000006</v>
      </c>
      <c r="O3" s="287"/>
      <c r="P3" s="283"/>
      <c r="Q3" s="297">
        <f>IF(E3&gt;60,999,IF(F3&gt;=10,998,N3))</f>
        <v>68.400000000000006</v>
      </c>
      <c r="R3" s="377">
        <f>RANK(Q3,$Q$3:$Q$8,0)</f>
        <v>3</v>
      </c>
      <c r="T3" s="378">
        <f>A3</f>
        <v>1</v>
      </c>
      <c r="U3" s="339">
        <f>IF(E3&gt;60,999,IF(F3&gt;=10,998,(INDEX(AT2:AX5,MATCH("Balanced",AT2:AT5,0),2)*J3)+(INDEX(AT2:AX5,MATCH("Balanced",AT2:AT5,0),3)*K3)+(INDEX(AT2:AX5,MATCH("Balanced",AT2:AT5,0),4)*L3)+(INDEX(AT2:AX5,MATCH("Balanced",AT2:AT5,0),5)*M3)))</f>
        <v>68.400000000000006</v>
      </c>
      <c r="V3" s="339">
        <f>IF(E3&gt;60,999,IF(F3&gt;=10,998,(INDEX(AT2:AX5,MATCH("Revenue Focus",AT2:AT5,0),2)*J3)+(INDEX(AT2:AX5,MATCH("Revenue Focus",AT2:AT5,0),3)*K3)+(INDEX(AT2:AX5,MATCH("Revenue Focus",AT2:AT5,0),4)*L3)+(INDEX(AT2:AX5,MATCH("Revenue Focus",AT2:AT5,0),5)*M3)))</f>
        <v>77.2</v>
      </c>
      <c r="W3" s="339">
        <f>IF(E3&gt;60,999,IF(F3&gt;=10,998,(INDEX(AT2:AX5,MATCH("Efficiency Focus",AT2:AT5,0),2)*J3)+(INDEX(AT2:AX5,MATCH("Efficiency Focus",AT2:AT5,0),3)*K3)+(INDEX(AT2:AX5,MATCH("Efficiency Focus",AT2:AT5,0),4)*L3)+(INDEX(AT2:AX5,MATCH("Efficiency Focus",AT2:AT5,0),5)*M3)))</f>
        <v>78.099999999999994</v>
      </c>
      <c r="X3" s="343">
        <f>IF(E3&gt;60,999,IF(F3&gt;=10,998,(INDEX(AT2:AX5,MATCH("Fairness First",AT2:AT5,0),2)*J3)+(INDEX(AT2:AX5,MATCH("Fairness First",AT2:AT5,0),3)*K3)+(INDEX(AT2:AX5,MATCH("Fairness First",AT2:AT5,0),4)*L3)+(INDEX(AT2:AX5,MATCH("Fairness First",AT2:AT5,0),5)*M3)))</f>
        <v>55</v>
      </c>
      <c r="AA3">
        <v>2</v>
      </c>
      <c r="AB3">
        <v>85</v>
      </c>
      <c r="AD3">
        <v>40</v>
      </c>
      <c r="AE3">
        <v>85</v>
      </c>
      <c r="AG3">
        <v>30</v>
      </c>
      <c r="AH3">
        <v>95</v>
      </c>
      <c r="AJ3">
        <v>10</v>
      </c>
      <c r="AK3">
        <v>20</v>
      </c>
      <c r="AM3">
        <v>1</v>
      </c>
      <c r="AN3">
        <v>15</v>
      </c>
      <c r="AP3" t="s">
        <v>50</v>
      </c>
      <c r="AQ3">
        <v>24</v>
      </c>
      <c r="AR3">
        <v>60</v>
      </c>
      <c r="AT3" t="s">
        <v>181</v>
      </c>
      <c r="AU3">
        <v>0.45</v>
      </c>
      <c r="AV3">
        <v>0.25</v>
      </c>
      <c r="AW3">
        <v>0.15</v>
      </c>
      <c r="AX3">
        <v>0.15</v>
      </c>
      <c r="AZ3" t="str">
        <f>"G"&amp;T4</f>
        <v>G2</v>
      </c>
      <c r="BA3" s="151">
        <f>U4</f>
        <v>46.85</v>
      </c>
      <c r="BB3" s="151">
        <f>V4</f>
        <v>56.8</v>
      </c>
      <c r="BC3" s="151">
        <f>W4</f>
        <v>50.949999999999996</v>
      </c>
      <c r="BD3" s="151">
        <f>X4</f>
        <v>35.4</v>
      </c>
    </row>
    <row r="4" spans="1:56" ht="18.75">
      <c r="A4" s="261">
        <v>2</v>
      </c>
      <c r="B4" s="259">
        <v>2</v>
      </c>
      <c r="C4" s="259">
        <v>120</v>
      </c>
      <c r="D4" s="259" t="s">
        <v>46</v>
      </c>
      <c r="E4" s="259">
        <v>10</v>
      </c>
      <c r="F4" s="259">
        <v>0</v>
      </c>
      <c r="G4" s="275">
        <v>90</v>
      </c>
      <c r="H4" s="372" t="s">
        <v>192</v>
      </c>
      <c r="I4" s="280">
        <f>A4</f>
        <v>2</v>
      </c>
      <c r="J4" s="269">
        <f>IFERROR(VLOOKUP(D4,'Simulation v.3'!AP2:AR5,3,FALSE),50)</f>
        <v>70</v>
      </c>
      <c r="K4" s="269">
        <f>MIN(100,((IFERROR(VLOOKUP(B4,'Simulation v.3'!AA2:AB7,2,FALSE),IF(B4&gt;=6,25,50)))*0.4+(VLOOKUP(G4,'Simulation v.3'!AD2:AE9,2,TRUE))*0.6)*$P$9)</f>
        <v>67</v>
      </c>
      <c r="L4" s="269">
        <f>(VLOOKUP(E4,'Simulation v.3'!AJ2:AK12,2,TRUE))*0.6+(IFERROR(VLOOKUP(F4,'Simulation v.3'!AM2:AN11,2,FALSE),IF(F4&gt;=9,100,50)))*0.4</f>
        <v>12</v>
      </c>
      <c r="M4" s="269">
        <f>VLOOKUP(C4,'Simulation v.3'!AG2:AH10,2,TRUE)</f>
        <v>45</v>
      </c>
      <c r="N4" s="293">
        <f>($P$4*J4)+($P$5*K4)+($P$6*L4)+($P$7*M4)</f>
        <v>46.85</v>
      </c>
      <c r="O4" s="288" t="s">
        <v>232</v>
      </c>
      <c r="P4" s="206">
        <f>VLOOKUP($P$1,AT2:AX5,2,FALSE)</f>
        <v>0.25</v>
      </c>
      <c r="Q4" s="298">
        <f>IF(E4&gt;60,999,IF(F4&gt;=10,998,N4))</f>
        <v>46.85</v>
      </c>
      <c r="R4" s="379">
        <f>RANK(Q4,$Q$3:$Q$8,0)</f>
        <v>4</v>
      </c>
      <c r="T4" s="378">
        <f>A4</f>
        <v>2</v>
      </c>
      <c r="U4" s="339">
        <f>IF(E4&gt;60,999,IF(F4&gt;=10,998,(INDEX(AT2:AX5,MATCH("Balanced",AT2:AT5,0),2)*J4)+(INDEX(AT2:AX5,MATCH("Balanced",AT2:AT5,0),3)*K4)+(INDEX(AT2:AX5,MATCH("Balanced",AT2:AT5,0),4)*L4)+(INDEX(AT2:AX5,MATCH("Balanced",AT2:AT5,0),5)*M4)))</f>
        <v>46.85</v>
      </c>
      <c r="V4" s="339">
        <f>IF(E4&gt;60,999,IF(F4&gt;=10,998,(INDEX(AT2:AX5,MATCH("Revenue Focus",AT2:AT5,0),2)*J4)+(INDEX(AT2:AX5,MATCH("Revenue Focus",AT2:AT5,0),3)*K4)+(INDEX(AT2:AX5,MATCH("Revenue Focus",AT2:AT5,0),4)*L4)+(INDEX(AT2:AX5,MATCH("Revenue Focus",AT2:AT5,0),5)*M4)))</f>
        <v>56.8</v>
      </c>
      <c r="W4" s="339">
        <f>IF(E4&gt;60,999,IF(F4&gt;=10,998,(INDEX(AT2:AX5,MATCH("Efficiency Focus",AT2:AT5,0),2)*J4)+(INDEX(AT2:AX5,MATCH("Efficiency Focus",AT2:AT5,0),3)*K4)+(INDEX(AT2:AX5,MATCH("Efficiency Focus",AT2:AT5,0),4)*L4)+(INDEX(AT2:AX5,MATCH("Efficiency Focus",AT2:AT5,0),5)*M4)))</f>
        <v>50.949999999999996</v>
      </c>
      <c r="X4" s="343">
        <f>IF(E4&gt;60,999,IF(F4&gt;=10,998,(INDEX(AT2:AX5,MATCH("Fairness First",AT2:AT5,0),2)*J4)+(INDEX(AT2:AX5,MATCH("Fairness First",AT2:AT5,0),3)*K4)+(INDEX(AT2:AX5,MATCH("Fairness First",AT2:AT5,0),4)*L4)+(INDEX(AT2:AX5,MATCH("Fairness First",AT2:AT5,0),5)*M4)))</f>
        <v>35.4</v>
      </c>
      <c r="AA4">
        <v>3</v>
      </c>
      <c r="AB4">
        <v>70</v>
      </c>
      <c r="AD4">
        <v>60</v>
      </c>
      <c r="AE4">
        <v>70</v>
      </c>
      <c r="AG4">
        <v>45</v>
      </c>
      <c r="AH4">
        <v>90</v>
      </c>
      <c r="AJ4">
        <v>15</v>
      </c>
      <c r="AK4">
        <v>30</v>
      </c>
      <c r="AM4">
        <v>2</v>
      </c>
      <c r="AN4">
        <v>30</v>
      </c>
      <c r="AP4" t="s">
        <v>46</v>
      </c>
      <c r="AQ4">
        <v>25</v>
      </c>
      <c r="AR4">
        <v>70</v>
      </c>
      <c r="AT4" t="s">
        <v>182</v>
      </c>
      <c r="AU4">
        <v>0.15</v>
      </c>
      <c r="AV4">
        <v>0.4</v>
      </c>
      <c r="AW4">
        <v>0.2</v>
      </c>
      <c r="AX4">
        <v>0.25</v>
      </c>
      <c r="AZ4" t="str">
        <f>"G"&amp;T5</f>
        <v>G3</v>
      </c>
      <c r="BA4" s="151">
        <f>U5</f>
        <v>29.55</v>
      </c>
      <c r="BB4" s="151">
        <f>V5</f>
        <v>40.15</v>
      </c>
      <c r="BC4" s="151">
        <f>W5</f>
        <v>29.9</v>
      </c>
      <c r="BD4" s="151">
        <f>X5</f>
        <v>19.600000000000001</v>
      </c>
    </row>
    <row r="5" spans="1:56">
      <c r="A5" s="260">
        <v>3</v>
      </c>
      <c r="B5" s="258">
        <v>3</v>
      </c>
      <c r="C5" s="258">
        <v>180</v>
      </c>
      <c r="D5" s="258" t="s">
        <v>50</v>
      </c>
      <c r="E5" s="258">
        <v>5</v>
      </c>
      <c r="F5" s="258">
        <v>0</v>
      </c>
      <c r="G5" s="276">
        <v>150</v>
      </c>
      <c r="I5" s="281">
        <f>A5</f>
        <v>3</v>
      </c>
      <c r="J5" s="268">
        <f>IFERROR(VLOOKUP(D5,'Simulation v.3'!AP2:AR5,3,FALSE),50)</f>
        <v>60</v>
      </c>
      <c r="K5" s="268">
        <f>MIN(100,((IFERROR(VLOOKUP(B5,'Simulation v.3'!AA2:AB7,2,FALSE),IF(B5&gt;=6,25,50)))*0.4+(VLOOKUP(G5,'Simulation v.3'!AD2:AE9,2,TRUE))*0.6)*$P$9)</f>
        <v>43</v>
      </c>
      <c r="L5" s="268">
        <f>(VLOOKUP(E5,'Simulation v.3'!AJ2:AK12,2,TRUE))*0.6+(IFERROR(VLOOKUP(F5,'Simulation v.3'!AM2:AN11,2,FALSE),IF(F5&gt;=9,100,50)))*0.4</f>
        <v>6</v>
      </c>
      <c r="M5" s="268">
        <f>VLOOKUP(C5,'Simulation v.3'!AG2:AH10,2,TRUE)</f>
        <v>10</v>
      </c>
      <c r="N5" s="293">
        <f>($P$4*J5)+($P$5*K5)+($P$6*L5)+($P$7*M5)</f>
        <v>29.55</v>
      </c>
      <c r="O5" s="288" t="s">
        <v>233</v>
      </c>
      <c r="P5" s="206">
        <f>VLOOKUP($P$1,AT2:AX5,3,FALSE)</f>
        <v>0.25</v>
      </c>
      <c r="Q5" s="297">
        <f>IF(E5&gt;60,999,IF(F5&gt;=10,998,N5))</f>
        <v>29.55</v>
      </c>
      <c r="R5" s="377">
        <f>RANK(Q5,$Q$3:$Q$8,0)</f>
        <v>6</v>
      </c>
      <c r="T5" s="378">
        <f>A5</f>
        <v>3</v>
      </c>
      <c r="U5" s="339">
        <f>IF(E5&gt;60,999,IF(F5&gt;=10,998,(INDEX(AT2:AX5,MATCH("Balanced",AT2:AT5,0),2)*J5)+(INDEX(AT2:AX5,MATCH("Balanced",AT2:AT5,0),3)*K5)+(INDEX(AT2:AX5,MATCH("Balanced",AT2:AT5,0),4)*L5)+(INDEX(AT2:AX5,MATCH("Balanced",AT2:AT5,0),5)*M5)))</f>
        <v>29.55</v>
      </c>
      <c r="V5" s="339">
        <f>IF(E5&gt;60,999,IF(F5&gt;=10,998,(INDEX(AT2:AX5,MATCH("Revenue Focus",AT2:AT5,0),2)*J5)+(INDEX(AT2:AX5,MATCH("Revenue Focus",AT2:AT5,0),3)*K5)+(INDEX(AT2:AX5,MATCH("Revenue Focus",AT2:AT5,0),4)*L5)+(INDEX(AT2:AX5,MATCH("Revenue Focus",AT2:AT5,0),5)*M5)))</f>
        <v>40.15</v>
      </c>
      <c r="W5" s="339">
        <f>IF(E5&gt;60,999,IF(F5&gt;=10,998,(INDEX(AT2:AX5,MATCH("Efficiency Focus",AT2:AT5,0),2)*J5)+(INDEX(AT2:AX5,MATCH("Efficiency Focus",AT2:AT5,0),3)*K5)+(INDEX(AT2:AX5,MATCH("Efficiency Focus",AT2:AT5,0),4)*L5)+(INDEX(AT2:AX5,MATCH("Efficiency Focus",AT2:AT5,0),5)*M5)))</f>
        <v>29.9</v>
      </c>
      <c r="X5" s="343">
        <f>IF(E5&gt;60,999,IF(F5&gt;=10,998,(INDEX(AT2:AX5,MATCH("Fairness First",AT2:AT5,0),2)*J5)+(INDEX(AT2:AX5,MATCH("Fairness First",AT2:AT5,0),3)*K5)+(INDEX(AT2:AX5,MATCH("Fairness First",AT2:AT5,0),4)*L5)+(INDEX(AT2:AX5,MATCH("Fairness First",AT2:AT5,0),5)*M5)))</f>
        <v>19.600000000000001</v>
      </c>
      <c r="AA5">
        <v>4</v>
      </c>
      <c r="AB5">
        <v>55</v>
      </c>
      <c r="AD5">
        <v>90</v>
      </c>
      <c r="AE5">
        <v>55</v>
      </c>
      <c r="AG5">
        <v>60</v>
      </c>
      <c r="AH5">
        <v>80</v>
      </c>
      <c r="AJ5">
        <v>20</v>
      </c>
      <c r="AK5">
        <v>40</v>
      </c>
      <c r="AM5">
        <v>3</v>
      </c>
      <c r="AN5">
        <v>45</v>
      </c>
      <c r="AP5" t="s">
        <v>195</v>
      </c>
      <c r="AQ5">
        <v>35</v>
      </c>
      <c r="AR5">
        <v>100</v>
      </c>
      <c r="AT5" t="s">
        <v>183</v>
      </c>
      <c r="AU5">
        <v>0.1</v>
      </c>
      <c r="AV5">
        <v>0.2</v>
      </c>
      <c r="AW5">
        <v>0.5</v>
      </c>
      <c r="AX5">
        <v>0.2</v>
      </c>
      <c r="AZ5" t="str">
        <f>"G"&amp;T6</f>
        <v>G4</v>
      </c>
      <c r="BA5" s="151">
        <f>U6</f>
        <v>76.2</v>
      </c>
      <c r="BB5" s="151">
        <f>V6</f>
        <v>82.6</v>
      </c>
      <c r="BC5" s="151">
        <f>W6</f>
        <v>73.400000000000006</v>
      </c>
      <c r="BD5" s="151">
        <f>X6</f>
        <v>70.8</v>
      </c>
    </row>
    <row r="6" spans="1:56">
      <c r="A6" s="261">
        <v>4</v>
      </c>
      <c r="B6" s="259">
        <v>4</v>
      </c>
      <c r="C6" s="259">
        <v>89</v>
      </c>
      <c r="D6" s="259" t="s">
        <v>195</v>
      </c>
      <c r="E6" s="259">
        <v>35</v>
      </c>
      <c r="F6" s="259">
        <v>4</v>
      </c>
      <c r="G6" s="275">
        <v>60</v>
      </c>
      <c r="I6" s="280">
        <f>A6</f>
        <v>4</v>
      </c>
      <c r="J6" s="269">
        <f>IFERROR(VLOOKUP(D6,'Simulation v.3'!AP2:AR5,3,FALSE),50)</f>
        <v>100</v>
      </c>
      <c r="K6" s="269">
        <f>MIN(100,((IFERROR(VLOOKUP(B6,'Simulation v.3'!AA2:AB7,2,FALSE),IF(B6&gt;=6,25,50)))*0.4+(VLOOKUP(G6,'Simulation v.3'!AD2:AE9,2,TRUE))*0.6)*$P$9)</f>
        <v>64</v>
      </c>
      <c r="L6" s="269">
        <f>(VLOOKUP(E6,'Simulation v.3'!AJ2:AK12,2,TRUE))*0.6+(IFERROR(VLOOKUP(F6,'Simulation v.3'!AM2:AN11,2,FALSE),IF(F6&gt;=9,100,50)))*0.4</f>
        <v>64</v>
      </c>
      <c r="M6" s="269">
        <f>VLOOKUP(C6,'Simulation v.3'!AG2:AH10,2,TRUE)</f>
        <v>80</v>
      </c>
      <c r="N6" s="293">
        <f>($P$4*J6)+($P$5*K6)+($P$6*L6)+($P$7*M6)</f>
        <v>76.2</v>
      </c>
      <c r="O6" s="288" t="s">
        <v>234</v>
      </c>
      <c r="P6" s="206">
        <f>VLOOKUP($P$1,AT2:AX5,4,FALSE)</f>
        <v>0.3</v>
      </c>
      <c r="Q6" s="298">
        <f>IF(E6&gt;60,999,IF(F6&gt;=10,998,N6))</f>
        <v>76.2</v>
      </c>
      <c r="R6" s="379">
        <f>RANK(Q6,$Q$3:$Q$8,0)</f>
        <v>2</v>
      </c>
      <c r="T6" s="378">
        <f>A6</f>
        <v>4</v>
      </c>
      <c r="U6" s="339">
        <f>IF(E6&gt;60,999,IF(F6&gt;=10,998,(INDEX(AT2:AX5,MATCH("Balanced",AT2:AT5,0),2)*J6)+(INDEX(AT2:AX5,MATCH("Balanced",AT2:AT5,0),3)*K6)+(INDEX(AT2:AX5,MATCH("Balanced",AT2:AT5,0),4)*L6)+(INDEX(AT2:AX5,MATCH("Balanced",AT2:AT5,0),5)*M6)))</f>
        <v>76.2</v>
      </c>
      <c r="V6" s="339">
        <f>IF(E6&gt;60,999,IF(F6&gt;=10,998,(INDEX(AT2:AX5,MATCH("Revenue Focus",AT2:AT5,0),2)*J6)+(INDEX(AT2:AX5,MATCH("Revenue Focus",AT2:AT5,0),3)*K6)+(INDEX(AT2:AX5,MATCH("Revenue Focus",AT2:AT5,0),4)*L6)+(INDEX(AT2:AX5,MATCH("Revenue Focus",AT2:AT5,0),5)*M6)))</f>
        <v>82.6</v>
      </c>
      <c r="W6" s="339">
        <f>IF(E6&gt;60,999,IF(F6&gt;=10,998,(INDEX(AT2:AX5,MATCH("Efficiency Focus",AT2:AT5,0),2)*J6)+(INDEX(AT2:AX5,MATCH("Efficiency Focus",AT2:AT5,0),3)*K6)+(INDEX(AT2:AX5,MATCH("Efficiency Focus",AT2:AT5,0),4)*L6)+(INDEX(AT2:AX5,MATCH("Efficiency Focus",AT2:AT5,0),5)*M6)))</f>
        <v>73.400000000000006</v>
      </c>
      <c r="X6" s="343">
        <f>IF(E6&gt;60,999,IF(F6&gt;=10,998,(INDEX(AT2:AX5,MATCH("Fairness First",AT2:AT5,0),2)*J6)+(INDEX(AT2:AX5,MATCH("Fairness First",AT2:AT5,0),3)*K6)+(INDEX(AT2:AX5,MATCH("Fairness First",AT2:AT5,0),4)*L6)+(INDEX(AT2:AX5,MATCH("Fairness First",AT2:AT5,0),5)*M6)))</f>
        <v>70.8</v>
      </c>
      <c r="AA6">
        <v>5</v>
      </c>
      <c r="AB6">
        <v>40</v>
      </c>
      <c r="AD6">
        <v>120</v>
      </c>
      <c r="AE6">
        <v>40</v>
      </c>
      <c r="AG6">
        <v>90</v>
      </c>
      <c r="AH6">
        <v>65</v>
      </c>
      <c r="AJ6">
        <v>25</v>
      </c>
      <c r="AK6">
        <v>50</v>
      </c>
      <c r="AM6">
        <v>4</v>
      </c>
      <c r="AN6">
        <v>55</v>
      </c>
      <c r="AZ6" t="str">
        <f>"G"&amp;T7</f>
        <v>G5</v>
      </c>
      <c r="BA6" s="151">
        <f>U7</f>
        <v>85.7</v>
      </c>
      <c r="BB6" s="151">
        <f>V7</f>
        <v>85.6</v>
      </c>
      <c r="BC6" s="151">
        <f>W7</f>
        <v>89.4</v>
      </c>
      <c r="BD6" s="151">
        <f>X7</f>
        <v>83.8</v>
      </c>
    </row>
    <row r="7" spans="1:56">
      <c r="A7" s="260">
        <v>5</v>
      </c>
      <c r="B7" s="258">
        <v>2</v>
      </c>
      <c r="C7" s="258">
        <v>25</v>
      </c>
      <c r="D7" s="258" t="s">
        <v>42</v>
      </c>
      <c r="E7" s="258">
        <v>40</v>
      </c>
      <c r="F7" s="258">
        <v>5</v>
      </c>
      <c r="G7" s="276">
        <v>25</v>
      </c>
      <c r="I7" s="281">
        <f>A7</f>
        <v>5</v>
      </c>
      <c r="J7" s="268">
        <f>IFERROR(VLOOKUP(D7,'Simulation v.3'!AP2:AR5,3,FALSE),50)</f>
        <v>80</v>
      </c>
      <c r="K7" s="268">
        <f>MIN(100,((IFERROR(VLOOKUP(B7,'Simulation v.3'!AA2:AB7,2,FALSE),IF(B7&gt;=6,25,50)))*0.4+(VLOOKUP(G7,'Simulation v.3'!AD2:AE9,2,TRUE))*0.6)*$P$9)</f>
        <v>94</v>
      </c>
      <c r="L7" s="268">
        <f>(VLOOKUP(E7,'Simulation v.3'!AJ2:AK12,2,TRUE))*0.6+(IFERROR(VLOOKUP(F7,'Simulation v.3'!AM2:AN11,2,FALSE),IF(F7&gt;=9,100,50)))*0.4</f>
        <v>74</v>
      </c>
      <c r="M7" s="268">
        <f>VLOOKUP(C7,'Simulation v.3'!AG2:AH10,2,TRUE)</f>
        <v>100</v>
      </c>
      <c r="N7" s="293">
        <f>($P$4*J7)+($P$5*K7)+($P$6*L7)+($P$7*M7)</f>
        <v>85.7</v>
      </c>
      <c r="O7" s="288" t="s">
        <v>235</v>
      </c>
      <c r="P7" s="206">
        <f>VLOOKUP($P$1,AT2:AX5,5,FALSE)</f>
        <v>0.2</v>
      </c>
      <c r="Q7" s="297">
        <f>IF(E7&gt;60,999,IF(F7&gt;=10,998,N7))</f>
        <v>85.7</v>
      </c>
      <c r="R7" s="377">
        <f>RANK(Q7,$Q$3:$Q$8,0)</f>
        <v>1</v>
      </c>
      <c r="T7" s="378">
        <f>A7</f>
        <v>5</v>
      </c>
      <c r="U7" s="339">
        <f>IF(E7&gt;60,999,IF(F7&gt;=10,998,(INDEX(AT2:AX5,MATCH("Balanced",AT2:AT5,0),2)*J7)+(INDEX(AT2:AX5,MATCH("Balanced",AT2:AT5,0),3)*K7)+(INDEX(AT2:AX5,MATCH("Balanced",AT2:AT5,0),4)*L7)+(INDEX(AT2:AX5,MATCH("Balanced",AT2:AT5,0),5)*M7)))</f>
        <v>85.7</v>
      </c>
      <c r="V7" s="339">
        <f>IF(E7&gt;60,999,IF(F7&gt;=10,998,(INDEX(AT2:AX5,MATCH("Revenue Focus",AT2:AT5,0),2)*J7)+(INDEX(AT2:AX5,MATCH("Revenue Focus",AT2:AT5,0),3)*K7)+(INDEX(AT2:AX5,MATCH("Revenue Focus",AT2:AT5,0),4)*L7)+(INDEX(AT2:AX5,MATCH("Revenue Focus",AT2:AT5,0),5)*M7)))</f>
        <v>85.6</v>
      </c>
      <c r="W7" s="339">
        <f>IF(E7&gt;60,999,IF(F7&gt;=10,998,(INDEX(AT2:AX5,MATCH("Efficiency Focus",AT2:AT5,0),2)*J7)+(INDEX(AT2:AX5,MATCH("Efficiency Focus",AT2:AT5,0),3)*K7)+(INDEX(AT2:AX5,MATCH("Efficiency Focus",AT2:AT5,0),4)*L7)+(INDEX(AT2:AX5,MATCH("Efficiency Focus",AT2:AT5,0),5)*M7)))</f>
        <v>89.4</v>
      </c>
      <c r="X7" s="343">
        <f>IF(E7&gt;60,999,IF(F7&gt;=10,998,(INDEX(AT2:AX5,MATCH("Fairness First",AT2:AT5,0),2)*J7)+(INDEX(AT2:AX5,MATCH("Fairness First",AT2:AT5,0),3)*K7)+(INDEX(AT2:AX5,MATCH("Fairness First",AT2:AT5,0),4)*L7)+(INDEX(AT2:AX5,MATCH("Fairness First",AT2:AT5,0),5)*M7)))</f>
        <v>83.8</v>
      </c>
      <c r="AA7">
        <v>6</v>
      </c>
      <c r="AB7">
        <v>25</v>
      </c>
      <c r="AD7">
        <v>150</v>
      </c>
      <c r="AE7">
        <v>25</v>
      </c>
      <c r="AG7">
        <v>120</v>
      </c>
      <c r="AH7">
        <v>45</v>
      </c>
      <c r="AJ7">
        <v>30</v>
      </c>
      <c r="AK7">
        <v>60</v>
      </c>
      <c r="AM7">
        <v>5</v>
      </c>
      <c r="AN7">
        <v>65</v>
      </c>
      <c r="AZ7" t="str">
        <f>"G"&amp;T8</f>
        <v>G6</v>
      </c>
      <c r="BA7" s="151">
        <f>U8</f>
        <v>40.799999999999997</v>
      </c>
      <c r="BB7" s="151">
        <f>V8</f>
        <v>46.15</v>
      </c>
      <c r="BC7" s="151">
        <f>W8</f>
        <v>38.450000000000003</v>
      </c>
      <c r="BD7" s="151">
        <f>X8</f>
        <v>37</v>
      </c>
    </row>
    <row r="8" spans="1:56">
      <c r="A8" s="261">
        <v>6</v>
      </c>
      <c r="B8" s="259">
        <v>5</v>
      </c>
      <c r="C8" s="259">
        <v>160</v>
      </c>
      <c r="D8" s="259" t="s">
        <v>50</v>
      </c>
      <c r="E8" s="259">
        <v>20</v>
      </c>
      <c r="F8" s="259">
        <v>2</v>
      </c>
      <c r="G8" s="275">
        <v>120</v>
      </c>
      <c r="I8" s="280">
        <f>A8</f>
        <v>6</v>
      </c>
      <c r="J8" s="269">
        <f>IFERROR(VLOOKUP(D8,'Simulation v.3'!AP2:AR5,3,FALSE),50)</f>
        <v>60</v>
      </c>
      <c r="K8" s="269">
        <f>MIN(100,((IFERROR(VLOOKUP(B8,'Simulation v.3'!AA2:AB7,2,FALSE),IF(B8&gt;=6,25,50)))*0.4+(VLOOKUP(G8,'Simulation v.3'!AD2:AE9,2,TRUE))*0.6)*$P$9)</f>
        <v>40</v>
      </c>
      <c r="L8" s="269">
        <f>(VLOOKUP(E8,'Simulation v.3'!AJ2:AK12,2,TRUE))*0.6+(IFERROR(VLOOKUP(F8,'Simulation v.3'!AM2:AN11,2,FALSE),IF(F8&gt;=9,100,50)))*0.4</f>
        <v>36</v>
      </c>
      <c r="M8" s="269">
        <f>VLOOKUP(C8,'Simulation v.3'!AG2:AH10,2,TRUE)</f>
        <v>25</v>
      </c>
      <c r="N8" s="293">
        <f>($P$4*J8)+($P$5*K8)+($P$6*L8)+($P$7*M8)</f>
        <v>40.799999999999997</v>
      </c>
      <c r="O8" s="289"/>
      <c r="P8" s="207"/>
      <c r="Q8" s="299">
        <f>IF(E8&gt;60,999,IF(F8&gt;=10,998,N8))</f>
        <v>40.799999999999997</v>
      </c>
      <c r="R8" s="380">
        <f>RANK(Q8,$Q$3:$Q$8,0)</f>
        <v>5</v>
      </c>
      <c r="T8" s="381">
        <f>A8</f>
        <v>6</v>
      </c>
      <c r="U8" s="344">
        <f>IF(E8&gt;60,999,IF(F8&gt;=10,998,(INDEX(AT2:AX5,MATCH("Balanced",AT2:AT5,0),2)*J8)+(INDEX(AT2:AX5,MATCH("Balanced",AT2:AT5,0),3)*K8)+(INDEX(AT2:AX5,MATCH("Balanced",AT2:AT5,0),4)*L8)+(INDEX(AT2:AX5,MATCH("Balanced",AT2:AT5,0),5)*M8)))</f>
        <v>40.799999999999997</v>
      </c>
      <c r="V8" s="344">
        <f>IF(E8&gt;60,999,IF(F8&gt;=10,998,(INDEX(AT2:AX5,MATCH("Revenue Focus",AT2:AT5,0),2)*J8)+(INDEX(AT2:AX5,MATCH("Revenue Focus",AT2:AT5,0),3)*K8)+(INDEX(AT2:AX5,MATCH("Revenue Focus",AT2:AT5,0),4)*L8)+(INDEX(AT2:AX5,MATCH("Revenue Focus",AT2:AT5,0),5)*M8)))</f>
        <v>46.15</v>
      </c>
      <c r="W8" s="344">
        <f>IF(E8&gt;60,999,IF(F8&gt;=10,998,(INDEX(AT2:AX5,MATCH("Efficiency Focus",AT2:AT5,0),2)*J8)+(INDEX(AT2:AX5,MATCH("Efficiency Focus",AT2:AT5,0),3)*K8)+(INDEX(AT2:AX5,MATCH("Efficiency Focus",AT2:AT5,0),4)*L8)+(INDEX(AT2:AX5,MATCH("Efficiency Focus",AT2:AT5,0),5)*M8)))</f>
        <v>38.450000000000003</v>
      </c>
      <c r="X8" s="345">
        <f>IF(E8&gt;60,999,IF(F8&gt;=10,998,(INDEX(AT2:AX5,MATCH("Fairness First",AT2:AT5,0),2)*J8)+(INDEX(AT2:AX5,MATCH("Fairness First",AT2:AT5,0),3)*K8)+(INDEX(AT2:AX5,MATCH("Fairness First",AT2:AT5,0),4)*L8)+(INDEX(AT2:AX5,MATCH("Fairness First",AT2:AT5,0),5)*M8)))</f>
        <v>37</v>
      </c>
      <c r="AD8">
        <v>180</v>
      </c>
      <c r="AE8">
        <v>15</v>
      </c>
      <c r="AG8">
        <v>150</v>
      </c>
      <c r="AH8">
        <v>25</v>
      </c>
      <c r="AJ8">
        <v>35</v>
      </c>
      <c r="AK8">
        <v>70</v>
      </c>
      <c r="AM8">
        <v>6</v>
      </c>
      <c r="AN8">
        <v>75</v>
      </c>
      <c r="AT8" t="s">
        <v>199</v>
      </c>
      <c r="AU8" t="s">
        <v>200</v>
      </c>
    </row>
    <row r="9" spans="1:56">
      <c r="O9" s="294" t="s">
        <v>201</v>
      </c>
      <c r="P9" s="295">
        <f>IF(P2="Low (&lt;50%)",0.8,IF(P2="High (&gt;80%)",1.2,1))</f>
        <v>1</v>
      </c>
      <c r="T9" s="283"/>
      <c r="U9" s="283"/>
      <c r="V9" s="283"/>
      <c r="W9" s="283"/>
      <c r="X9" s="283"/>
      <c r="AD9">
        <v>9999</v>
      </c>
      <c r="AE9">
        <v>10</v>
      </c>
      <c r="AG9">
        <v>180</v>
      </c>
      <c r="AH9">
        <v>10</v>
      </c>
      <c r="AJ9">
        <v>40</v>
      </c>
      <c r="AK9">
        <v>80</v>
      </c>
      <c r="AM9">
        <v>7</v>
      </c>
      <c r="AN9">
        <v>82</v>
      </c>
      <c r="AT9" t="s">
        <v>202</v>
      </c>
      <c r="AU9">
        <v>0.8</v>
      </c>
    </row>
    <row r="10" spans="1:56">
      <c r="A10" s="304" t="s">
        <v>203</v>
      </c>
      <c r="B10" s="303"/>
      <c r="C10" s="307"/>
      <c r="E10" s="317" t="s">
        <v>204</v>
      </c>
      <c r="F10" s="316"/>
      <c r="G10" s="316"/>
      <c r="H10" s="316"/>
      <c r="I10" s="321"/>
      <c r="K10" s="328" t="s">
        <v>236</v>
      </c>
      <c r="L10" s="329"/>
      <c r="T10" s="374" t="s">
        <v>206</v>
      </c>
      <c r="U10" s="340"/>
      <c r="V10" s="340"/>
      <c r="W10" s="340"/>
      <c r="X10" s="341"/>
      <c r="AG10">
        <v>9999</v>
      </c>
      <c r="AH10">
        <v>0</v>
      </c>
      <c r="AJ10">
        <v>50</v>
      </c>
      <c r="AK10">
        <v>90</v>
      </c>
      <c r="AM10">
        <v>8</v>
      </c>
      <c r="AN10">
        <v>90</v>
      </c>
      <c r="AT10" t="s">
        <v>207</v>
      </c>
      <c r="AU10">
        <v>1.2</v>
      </c>
    </row>
    <row r="11" spans="1:56">
      <c r="A11" s="305" t="s">
        <v>208</v>
      </c>
      <c r="B11" s="301" t="s">
        <v>209</v>
      </c>
      <c r="C11" s="308" t="s">
        <v>210</v>
      </c>
      <c r="E11" s="318" t="s">
        <v>177</v>
      </c>
      <c r="F11" s="313" t="s">
        <v>237</v>
      </c>
      <c r="G11" s="313" t="s">
        <v>238</v>
      </c>
      <c r="H11" s="313" t="s">
        <v>239</v>
      </c>
      <c r="I11" s="322" t="s">
        <v>240</v>
      </c>
      <c r="K11" s="330" t="s">
        <v>104</v>
      </c>
      <c r="L11" s="331" t="s">
        <v>241</v>
      </c>
      <c r="T11" s="376" t="s">
        <v>33</v>
      </c>
      <c r="U11" s="338" t="s">
        <v>162</v>
      </c>
      <c r="V11" s="338" t="s">
        <v>181</v>
      </c>
      <c r="W11" s="338" t="s">
        <v>182</v>
      </c>
      <c r="X11" s="342" t="s">
        <v>183</v>
      </c>
      <c r="AJ11">
        <v>60</v>
      </c>
      <c r="AK11">
        <v>95</v>
      </c>
      <c r="AM11">
        <v>9</v>
      </c>
      <c r="AN11">
        <v>95</v>
      </c>
    </row>
    <row r="12" spans="1:56">
      <c r="A12" s="306" t="s">
        <v>216</v>
      </c>
      <c r="B12" s="302">
        <v>999</v>
      </c>
      <c r="C12" s="309" t="s">
        <v>217</v>
      </c>
      <c r="E12" s="319" t="s">
        <v>162</v>
      </c>
      <c r="F12" s="314">
        <v>0.25</v>
      </c>
      <c r="G12" s="314">
        <v>0.25</v>
      </c>
      <c r="H12" s="314">
        <v>0.3</v>
      </c>
      <c r="I12" s="323">
        <v>0.2</v>
      </c>
      <c r="K12" s="332" t="s">
        <v>101</v>
      </c>
      <c r="L12" s="333" t="s">
        <v>242</v>
      </c>
      <c r="T12" s="378">
        <f>A3</f>
        <v>1</v>
      </c>
      <c r="U12" s="346">
        <f>RANK(U3,$U$3:$U$8,0)</f>
        <v>3</v>
      </c>
      <c r="V12" s="346">
        <f>RANK(V3,$V$3:$V$8,0)</f>
        <v>3</v>
      </c>
      <c r="W12" s="346">
        <f>RANK(W3,$W$3:$W$8,0)</f>
        <v>2</v>
      </c>
      <c r="X12" s="347">
        <f>RANK(X3,$X$3:$X$8,0)</f>
        <v>3</v>
      </c>
      <c r="AJ12">
        <v>9999</v>
      </c>
      <c r="AK12">
        <v>100</v>
      </c>
    </row>
    <row r="13" spans="1:56">
      <c r="A13" s="310" t="s">
        <v>243</v>
      </c>
      <c r="B13" s="311">
        <v>998</v>
      </c>
      <c r="C13" s="312" t="s">
        <v>244</v>
      </c>
      <c r="E13" s="320" t="s">
        <v>181</v>
      </c>
      <c r="F13" s="315">
        <v>0.45</v>
      </c>
      <c r="G13" s="315">
        <v>0.25</v>
      </c>
      <c r="H13" s="315">
        <v>0.15</v>
      </c>
      <c r="I13" s="324">
        <v>0.15</v>
      </c>
      <c r="K13" s="334" t="s">
        <v>102</v>
      </c>
      <c r="L13" s="335" t="s">
        <v>245</v>
      </c>
      <c r="T13" s="378">
        <f>A4</f>
        <v>2</v>
      </c>
      <c r="U13" s="346">
        <f>RANK(U4,$U$3:$U$8,0)</f>
        <v>4</v>
      </c>
      <c r="V13" s="346">
        <f>RANK(V4,$V$3:$V$8,0)</f>
        <v>4</v>
      </c>
      <c r="W13" s="346">
        <f>RANK(W4,$W$3:$W$8,0)</f>
        <v>4</v>
      </c>
      <c r="X13" s="347">
        <f>RANK(X4,$X$3:$X$8,0)</f>
        <v>5</v>
      </c>
    </row>
    <row r="14" spans="1:56">
      <c r="E14" s="319" t="s">
        <v>182</v>
      </c>
      <c r="F14" s="314">
        <v>0.15</v>
      </c>
      <c r="G14" s="314">
        <v>0.4</v>
      </c>
      <c r="H14" s="314">
        <v>0.2</v>
      </c>
      <c r="I14" s="323">
        <v>0.25</v>
      </c>
      <c r="K14" s="336" t="s">
        <v>103</v>
      </c>
      <c r="L14" s="337" t="s">
        <v>246</v>
      </c>
      <c r="T14" s="378">
        <f>A5</f>
        <v>3</v>
      </c>
      <c r="U14" s="346">
        <f>RANK(U5,$U$3:$U$8,0)</f>
        <v>6</v>
      </c>
      <c r="V14" s="346">
        <f>RANK(V5,$V$3:$V$8,0)</f>
        <v>6</v>
      </c>
      <c r="W14" s="346">
        <f>RANK(W5,$W$3:$W$8,0)</f>
        <v>6</v>
      </c>
      <c r="X14" s="347">
        <f>RANK(X5,$X$3:$X$8,0)</f>
        <v>6</v>
      </c>
    </row>
    <row r="15" spans="1:56">
      <c r="E15" s="325" t="s">
        <v>183</v>
      </c>
      <c r="F15" s="326">
        <v>0.1</v>
      </c>
      <c r="G15" s="326">
        <v>0.2</v>
      </c>
      <c r="H15" s="326">
        <v>0.5</v>
      </c>
      <c r="I15" s="327">
        <v>0.2</v>
      </c>
      <c r="T15" s="378">
        <f>A6</f>
        <v>4</v>
      </c>
      <c r="U15" s="346">
        <f>RANK(U6,$U$3:$U$8,0)</f>
        <v>2</v>
      </c>
      <c r="V15" s="346">
        <f>RANK(V6,$V$3:$V$8,0)</f>
        <v>2</v>
      </c>
      <c r="W15" s="346">
        <f>RANK(W6,$W$3:$W$8,0)</f>
        <v>3</v>
      </c>
      <c r="X15" s="347">
        <f>RANK(X6,$X$3:$X$8,0)</f>
        <v>2</v>
      </c>
    </row>
    <row r="16" spans="1:56">
      <c r="T16" s="378">
        <f>A7</f>
        <v>5</v>
      </c>
      <c r="U16" s="346">
        <f>RANK(U7,$U$3:$U$8,0)</f>
        <v>1</v>
      </c>
      <c r="V16" s="346">
        <f>RANK(V7,$V$3:$V$8,0)</f>
        <v>1</v>
      </c>
      <c r="W16" s="346">
        <f>RANK(W7,$W$3:$W$8,0)</f>
        <v>1</v>
      </c>
      <c r="X16" s="347">
        <f>RANK(X7,$X$3:$X$8,0)</f>
        <v>1</v>
      </c>
    </row>
    <row r="17" spans="20:24">
      <c r="T17" s="382">
        <f>A8</f>
        <v>6</v>
      </c>
      <c r="U17" s="348">
        <f>RANK(U8,$U$3:$U$8,0)</f>
        <v>5</v>
      </c>
      <c r="V17" s="348">
        <f>RANK(V8,$V$3:$V$8,0)</f>
        <v>5</v>
      </c>
      <c r="W17" s="348">
        <f>RANK(W8,$W$3:$W$8,0)</f>
        <v>5</v>
      </c>
      <c r="X17" s="349">
        <f>RANK(X8,$X$3:$X$8,0)</f>
        <v>4</v>
      </c>
    </row>
  </sheetData>
  <conditionalFormatting sqref="J3:M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X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2:X17">
    <cfRule type="cellIs" dxfId="5" priority="3" operator="equal">
      <formula>1</formula>
    </cfRule>
  </conditionalFormatting>
  <conditionalFormatting sqref="U12:X17">
    <cfRule type="cellIs" dxfId="4" priority="4" operator="equal">
      <formula>2</formula>
    </cfRule>
  </conditionalFormatting>
  <conditionalFormatting sqref="U12:X17">
    <cfRule type="cellIs" dxfId="3" priority="5" operator="equal">
      <formula>3</formula>
    </cfRule>
  </conditionalFormatting>
  <conditionalFormatting sqref="R3:R8">
    <cfRule type="cellIs" dxfId="2" priority="6" operator="equal">
      <formula>1</formula>
    </cfRule>
  </conditionalFormatting>
  <conditionalFormatting sqref="R3:R8">
    <cfRule type="cellIs" dxfId="1" priority="7" operator="equal">
      <formula>2</formula>
    </cfRule>
  </conditionalFormatting>
  <conditionalFormatting sqref="R3:R8">
    <cfRule type="cellIs" dxfId="0" priority="8" operator="equal">
      <formula>3</formula>
    </cfRule>
  </conditionalFormatting>
  <dataValidations count="3">
    <dataValidation type="list" allowBlank="1" showInputMessage="1" showErrorMessage="1" sqref="P1" xr:uid="{2FC8CDB6-23D8-417D-8D23-7A7501F766AA}">
      <formula1>"Balanced,Revenue Focus,Efficiency Focus,Fairness First"</formula1>
    </dataValidation>
    <dataValidation type="list" allowBlank="1" showInputMessage="1" showErrorMessage="1" sqref="P2" xr:uid="{C2B2A544-FBD4-4A18-9B60-ACC8B8FCB039}">
      <formula1>"Low (&lt;50%),Medium,High (&gt;80%)"</formula1>
    </dataValidation>
    <dataValidation type="list" allowBlank="1" showInputMessage="1" showErrorMessage="1" sqref="D3:D8" xr:uid="{635063C8-BF10-4646-B4A8-84E1735507E4}">
      <formula1>"Priority Pass,LoungeKey,Amex Platinum,Day Pass (walk-in)"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B730-8A6D-4E47-848A-0B1EE34B0AF1}">
  <dimension ref="A1:Q27"/>
  <sheetViews>
    <sheetView workbookViewId="0">
      <selection activeCell="L13" sqref="L13"/>
    </sheetView>
  </sheetViews>
  <sheetFormatPr defaultRowHeight="15"/>
  <cols>
    <col min="1" max="1" width="20.5703125" customWidth="1"/>
    <col min="2" max="2" width="18.85546875" customWidth="1"/>
    <col min="3" max="3" width="24.5703125" customWidth="1"/>
    <col min="4" max="4" width="35.42578125" customWidth="1"/>
    <col min="5" max="5" width="1.42578125" customWidth="1"/>
    <col min="6" max="6" width="2.85546875" customWidth="1"/>
    <col min="9" max="9" width="17.28515625" customWidth="1"/>
    <col min="10" max="10" width="9.140625" bestFit="1" customWidth="1"/>
    <col min="13" max="13" width="21.42578125" customWidth="1"/>
    <col min="14" max="14" width="4.5703125" customWidth="1"/>
    <col min="15" max="15" width="24.7109375" style="1" customWidth="1"/>
    <col min="16" max="16" width="13.140625" customWidth="1"/>
  </cols>
  <sheetData>
    <row r="1" spans="1:17" ht="15.75" thickBot="1">
      <c r="A1" s="385" t="s">
        <v>221</v>
      </c>
      <c r="B1" s="386"/>
      <c r="C1" s="386"/>
      <c r="D1" s="387"/>
      <c r="I1" s="388" t="s">
        <v>247</v>
      </c>
      <c r="J1" s="389"/>
      <c r="K1" s="389"/>
      <c r="L1" s="389"/>
      <c r="M1" s="390"/>
      <c r="O1" s="171" t="s">
        <v>161</v>
      </c>
      <c r="P1" s="165" t="s">
        <v>103</v>
      </c>
    </row>
    <row r="2" spans="1:17" ht="15.75" thickBot="1">
      <c r="A2" s="132" t="s">
        <v>184</v>
      </c>
      <c r="B2" s="133" t="s">
        <v>185</v>
      </c>
      <c r="C2" s="133" t="s">
        <v>186</v>
      </c>
      <c r="D2" s="134" t="s">
        <v>248</v>
      </c>
      <c r="I2" s="132" t="s">
        <v>184</v>
      </c>
      <c r="J2" s="135" t="s">
        <v>185</v>
      </c>
      <c r="K2" s="136" t="s">
        <v>186</v>
      </c>
      <c r="L2" s="135" t="s">
        <v>248</v>
      </c>
      <c r="M2" s="137" t="s">
        <v>249</v>
      </c>
      <c r="O2" s="172"/>
      <c r="P2" s="138"/>
    </row>
    <row r="3" spans="1:17">
      <c r="A3" s="139">
        <v>1</v>
      </c>
      <c r="B3" s="140">
        <v>6</v>
      </c>
      <c r="C3" s="141">
        <v>12</v>
      </c>
      <c r="D3" s="142" t="s">
        <v>42</v>
      </c>
      <c r="I3" s="139">
        <v>1</v>
      </c>
      <c r="J3" s="140">
        <v>40</v>
      </c>
      <c r="K3" s="141">
        <v>100</v>
      </c>
      <c r="L3" s="143">
        <v>100</v>
      </c>
      <c r="M3" s="144">
        <f>(J3*$P$3)+(K3*$P$4)+(L3*$P$5)</f>
        <v>88</v>
      </c>
      <c r="O3" s="173" t="s">
        <v>250</v>
      </c>
      <c r="P3" s="145">
        <v>0.2</v>
      </c>
    </row>
    <row r="4" spans="1:17">
      <c r="A4" s="146">
        <v>2</v>
      </c>
      <c r="B4" s="147">
        <v>2</v>
      </c>
      <c r="C4" s="36">
        <v>12</v>
      </c>
      <c r="D4" s="138" t="s">
        <v>50</v>
      </c>
      <c r="I4" s="146">
        <v>2</v>
      </c>
      <c r="J4" s="147">
        <v>85</v>
      </c>
      <c r="K4" s="36">
        <v>100</v>
      </c>
      <c r="L4" s="148">
        <v>85</v>
      </c>
      <c r="M4" s="149">
        <f>(J4*$P$3)+(K4*$P$4)+(L4*$P$5)</f>
        <v>94.75</v>
      </c>
      <c r="O4" s="173" t="s">
        <v>251</v>
      </c>
      <c r="P4">
        <v>0.65</v>
      </c>
    </row>
    <row r="5" spans="1:17" ht="30" customHeight="1" thickBot="1">
      <c r="A5" s="146">
        <v>3</v>
      </c>
      <c r="B5" s="147">
        <v>1</v>
      </c>
      <c r="C5" s="36">
        <v>45</v>
      </c>
      <c r="D5" s="138" t="s">
        <v>46</v>
      </c>
      <c r="I5" s="146">
        <v>3</v>
      </c>
      <c r="J5" s="147">
        <v>100</v>
      </c>
      <c r="K5" s="36">
        <v>75</v>
      </c>
      <c r="L5" s="148">
        <v>75</v>
      </c>
      <c r="M5" s="149">
        <f>(J5*$P$3)+(K5*$P$4)+(L5*$P$5)</f>
        <v>80</v>
      </c>
      <c r="O5" s="174" t="s">
        <v>252</v>
      </c>
      <c r="P5" s="150">
        <v>0.15</v>
      </c>
      <c r="Q5" s="151"/>
    </row>
    <row r="6" spans="1:17">
      <c r="A6" s="146">
        <v>4</v>
      </c>
      <c r="B6" s="147">
        <v>9</v>
      </c>
      <c r="C6" s="36">
        <v>89</v>
      </c>
      <c r="D6" s="138" t="s">
        <v>195</v>
      </c>
      <c r="I6" s="146">
        <v>4</v>
      </c>
      <c r="J6" s="147">
        <v>40</v>
      </c>
      <c r="K6" s="36">
        <v>55</v>
      </c>
      <c r="L6" s="148">
        <v>55</v>
      </c>
      <c r="M6" s="149">
        <f>(J6*$P$3)+(K6*$P$4)+(L6*$P$5)</f>
        <v>52</v>
      </c>
    </row>
    <row r="7" spans="1:17">
      <c r="A7" s="146">
        <v>5</v>
      </c>
      <c r="B7" s="147">
        <v>3</v>
      </c>
      <c r="C7" s="36">
        <v>160</v>
      </c>
      <c r="D7" s="138" t="s">
        <v>50</v>
      </c>
      <c r="I7" s="146">
        <v>5</v>
      </c>
      <c r="J7" s="147">
        <v>70</v>
      </c>
      <c r="K7" s="36">
        <v>35</v>
      </c>
      <c r="L7" s="148">
        <v>85</v>
      </c>
      <c r="M7" s="149">
        <f>(J7*$P$3)+(K7*$P$4)+(L7*$P$5)</f>
        <v>49.5</v>
      </c>
    </row>
    <row r="8" spans="1:17" ht="90.75" thickBot="1">
      <c r="A8" s="152">
        <v>6</v>
      </c>
      <c r="B8" s="153">
        <v>4</v>
      </c>
      <c r="C8" s="154">
        <v>185</v>
      </c>
      <c r="D8" s="155" t="s">
        <v>46</v>
      </c>
      <c r="I8" s="152">
        <v>6</v>
      </c>
      <c r="J8" s="153">
        <v>55</v>
      </c>
      <c r="K8" s="154">
        <v>20</v>
      </c>
      <c r="L8" s="156">
        <v>75</v>
      </c>
      <c r="M8" s="157">
        <f>(J8*$P$3)+(K8*$P$4)+(L8*$P$5)</f>
        <v>35.25</v>
      </c>
      <c r="O8" s="1" t="s">
        <v>253</v>
      </c>
    </row>
    <row r="14" spans="1:17" ht="15.75" thickBot="1">
      <c r="J14" s="163"/>
    </row>
    <row r="15" spans="1:17" ht="15.75" thickBot="1">
      <c r="A15" s="164" t="s">
        <v>254</v>
      </c>
    </row>
    <row r="17" spans="1:4" ht="15.75" thickBot="1">
      <c r="A17" s="168" t="s">
        <v>104</v>
      </c>
    </row>
    <row r="18" spans="1:4">
      <c r="A18" s="169" t="s">
        <v>250</v>
      </c>
      <c r="B18" s="158">
        <v>0.1</v>
      </c>
      <c r="C18" s="142"/>
      <c r="D18" t="s">
        <v>255</v>
      </c>
    </row>
    <row r="19" spans="1:4">
      <c r="A19" s="166" t="s">
        <v>251</v>
      </c>
      <c r="B19">
        <v>0.7</v>
      </c>
      <c r="C19" s="138"/>
    </row>
    <row r="20" spans="1:4" ht="15.75" thickBot="1">
      <c r="A20" s="167" t="s">
        <v>252</v>
      </c>
      <c r="B20" s="150">
        <v>0.2</v>
      </c>
      <c r="C20" s="155"/>
    </row>
    <row r="21" spans="1:4">
      <c r="B21" s="151">
        <f>SUM(B18:B20)</f>
        <v>1</v>
      </c>
    </row>
    <row r="22" spans="1:4">
      <c r="A22" s="170"/>
    </row>
    <row r="23" spans="1:4" ht="15.75" thickBot="1">
      <c r="A23" s="165" t="s">
        <v>103</v>
      </c>
    </row>
    <row r="24" spans="1:4">
      <c r="A24" s="169" t="s">
        <v>250</v>
      </c>
      <c r="B24" s="145">
        <v>0.2</v>
      </c>
      <c r="C24" s="142"/>
    </row>
    <row r="25" spans="1:4">
      <c r="A25" s="166" t="s">
        <v>251</v>
      </c>
      <c r="B25">
        <v>0.65</v>
      </c>
      <c r="C25" s="138"/>
    </row>
    <row r="26" spans="1:4" ht="15.75" thickBot="1">
      <c r="A26" s="167" t="s">
        <v>252</v>
      </c>
      <c r="B26" s="150">
        <v>0.15</v>
      </c>
      <c r="C26" s="155"/>
    </row>
    <row r="27" spans="1:4">
      <c r="B27" s="151">
        <f>SUM(B24:B26)</f>
        <v>1</v>
      </c>
    </row>
  </sheetData>
  <mergeCells count="2">
    <mergeCell ref="A1:D1"/>
    <mergeCell ref="I1:M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6868-99E1-42E1-9F35-3A7D40CE994F}">
  <dimension ref="A1:H28"/>
  <sheetViews>
    <sheetView workbookViewId="0">
      <selection activeCell="A4" sqref="A4"/>
    </sheetView>
  </sheetViews>
  <sheetFormatPr defaultRowHeight="15"/>
  <cols>
    <col min="1" max="1" width="24.28515625" customWidth="1"/>
    <col min="2" max="2" width="27.42578125" customWidth="1"/>
    <col min="3" max="3" width="12.5703125" customWidth="1"/>
    <col min="4" max="4" width="31.140625" customWidth="1"/>
    <col min="5" max="5" width="25.28515625" customWidth="1"/>
    <col min="6" max="6" width="36" customWidth="1"/>
    <col min="7" max="7" width="23.42578125" customWidth="1"/>
    <col min="8" max="8" width="21.140625" customWidth="1"/>
  </cols>
  <sheetData>
    <row r="1" spans="1:6" ht="18">
      <c r="A1" s="104" t="s">
        <v>256</v>
      </c>
    </row>
    <row r="2" spans="1:6">
      <c r="A2" s="46" t="s">
        <v>257</v>
      </c>
    </row>
    <row r="4" spans="1:6" ht="28.5">
      <c r="A4" s="47" t="s">
        <v>177</v>
      </c>
      <c r="B4" s="47" t="s">
        <v>232</v>
      </c>
      <c r="C4" s="47" t="s">
        <v>233</v>
      </c>
      <c r="D4" s="47" t="s">
        <v>234</v>
      </c>
      <c r="E4" s="47" t="s">
        <v>235</v>
      </c>
      <c r="F4" s="47" t="s">
        <v>258</v>
      </c>
    </row>
    <row r="5" spans="1:6" ht="25.5">
      <c r="A5" s="60" t="s">
        <v>259</v>
      </c>
      <c r="B5" s="105">
        <v>0.25</v>
      </c>
      <c r="C5" s="105">
        <v>0.25</v>
      </c>
      <c r="D5" s="105">
        <v>0.3</v>
      </c>
      <c r="E5" s="105">
        <v>0.2</v>
      </c>
      <c r="F5" s="60" t="s">
        <v>260</v>
      </c>
    </row>
    <row r="6" spans="1:6" ht="25.5">
      <c r="A6" s="62" t="s">
        <v>181</v>
      </c>
      <c r="B6" s="106">
        <v>0.45</v>
      </c>
      <c r="C6" s="106">
        <v>0.25</v>
      </c>
      <c r="D6" s="106">
        <v>0.15</v>
      </c>
      <c r="E6" s="106">
        <v>0.15</v>
      </c>
      <c r="F6" s="62" t="s">
        <v>261</v>
      </c>
    </row>
    <row r="7" spans="1:6" ht="25.5">
      <c r="A7" s="60" t="s">
        <v>182</v>
      </c>
      <c r="B7" s="105">
        <v>0.15</v>
      </c>
      <c r="C7" s="105">
        <v>0.4</v>
      </c>
      <c r="D7" s="105">
        <v>0.2</v>
      </c>
      <c r="E7" s="105">
        <v>0.25</v>
      </c>
      <c r="F7" s="60" t="s">
        <v>262</v>
      </c>
    </row>
    <row r="8" spans="1:6" ht="25.5">
      <c r="A8" s="62" t="s">
        <v>183</v>
      </c>
      <c r="B8" s="106">
        <v>0.1</v>
      </c>
      <c r="C8" s="106">
        <v>0.2</v>
      </c>
      <c r="D8" s="106">
        <v>0.5</v>
      </c>
      <c r="E8" s="106">
        <v>0.2</v>
      </c>
      <c r="F8" s="62" t="s">
        <v>263</v>
      </c>
    </row>
    <row r="10" spans="1:6">
      <c r="A10" s="107" t="s">
        <v>264</v>
      </c>
    </row>
    <row r="12" spans="1:6" ht="15.75">
      <c r="A12" s="56" t="s">
        <v>265</v>
      </c>
    </row>
    <row r="13" spans="1:6">
      <c r="A13" s="108" t="s">
        <v>266</v>
      </c>
    </row>
    <row r="14" spans="1:6">
      <c r="A14" s="91" t="s">
        <v>267</v>
      </c>
    </row>
    <row r="15" spans="1:6">
      <c r="A15" s="91" t="s">
        <v>268</v>
      </c>
    </row>
    <row r="20" spans="1:8" ht="15.75" thickBot="1"/>
    <row r="21" spans="1:8" ht="15.75" thickBot="1">
      <c r="A21" s="385" t="s">
        <v>35</v>
      </c>
      <c r="B21" s="387"/>
      <c r="D21" s="385" t="s">
        <v>269</v>
      </c>
      <c r="E21" s="387"/>
      <c r="G21" s="385" t="s">
        <v>252</v>
      </c>
      <c r="H21" s="387"/>
    </row>
    <row r="22" spans="1:8">
      <c r="A22" s="175" t="s">
        <v>250</v>
      </c>
      <c r="B22" s="176" t="s">
        <v>270</v>
      </c>
      <c r="D22" s="175" t="s">
        <v>251</v>
      </c>
      <c r="E22" s="176" t="s">
        <v>271</v>
      </c>
      <c r="G22" s="175" t="s">
        <v>252</v>
      </c>
      <c r="H22" s="176" t="s">
        <v>272</v>
      </c>
    </row>
    <row r="23" spans="1:8">
      <c r="A23" s="159">
        <v>1</v>
      </c>
      <c r="B23" s="160">
        <v>100</v>
      </c>
      <c r="D23" s="159" t="s">
        <v>273</v>
      </c>
      <c r="E23" s="160">
        <v>100</v>
      </c>
      <c r="G23" s="159" t="s">
        <v>42</v>
      </c>
      <c r="H23" s="160">
        <v>100</v>
      </c>
    </row>
    <row r="24" spans="1:8">
      <c r="A24" s="159">
        <v>2</v>
      </c>
      <c r="B24" s="160">
        <v>85</v>
      </c>
      <c r="D24" s="159" t="s">
        <v>274</v>
      </c>
      <c r="E24" s="160">
        <v>90</v>
      </c>
      <c r="G24" s="159" t="s">
        <v>50</v>
      </c>
      <c r="H24" s="160">
        <v>85</v>
      </c>
    </row>
    <row r="25" spans="1:8">
      <c r="A25" s="159">
        <v>3</v>
      </c>
      <c r="B25" s="160">
        <v>70</v>
      </c>
      <c r="D25" s="159" t="s">
        <v>275</v>
      </c>
      <c r="E25" s="160">
        <v>75</v>
      </c>
      <c r="G25" s="159" t="s">
        <v>46</v>
      </c>
      <c r="H25" s="160">
        <v>75</v>
      </c>
    </row>
    <row r="26" spans="1:8">
      <c r="A26" s="159">
        <v>4</v>
      </c>
      <c r="B26" s="160">
        <v>55</v>
      </c>
      <c r="D26" s="159" t="s">
        <v>276</v>
      </c>
      <c r="E26" s="160">
        <v>55</v>
      </c>
      <c r="G26" s="159" t="s">
        <v>195</v>
      </c>
      <c r="H26" s="160">
        <v>55</v>
      </c>
    </row>
    <row r="27" spans="1:8" ht="15.75" thickBot="1">
      <c r="A27" s="161" t="s">
        <v>277</v>
      </c>
      <c r="B27" s="162">
        <v>40</v>
      </c>
      <c r="D27" s="161" t="s">
        <v>278</v>
      </c>
      <c r="E27" s="162">
        <v>35</v>
      </c>
    </row>
    <row r="28" spans="1:8" ht="15.75" thickBot="1">
      <c r="D28" s="161" t="s">
        <v>279</v>
      </c>
      <c r="E28" s="162">
        <v>20</v>
      </c>
    </row>
  </sheetData>
  <mergeCells count="3">
    <mergeCell ref="A21:B21"/>
    <mergeCell ref="D21:E21"/>
    <mergeCell ref="G21:H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5FFD7-8B83-4735-8D3D-38EEFCF1C0CF}">
  <dimension ref="A1:E29"/>
  <sheetViews>
    <sheetView topLeftCell="A3" workbookViewId="0">
      <selection activeCell="C9" sqref="C9"/>
    </sheetView>
  </sheetViews>
  <sheetFormatPr defaultRowHeight="15"/>
  <cols>
    <col min="1" max="1" width="23.28515625" customWidth="1"/>
    <col min="2" max="2" width="35.85546875" customWidth="1"/>
    <col min="3" max="3" width="39" customWidth="1"/>
    <col min="4" max="4" width="43.5703125" customWidth="1"/>
    <col min="5" max="5" width="53" customWidth="1"/>
  </cols>
  <sheetData>
    <row r="1" spans="1:5" ht="20.25">
      <c r="A1" s="45" t="s">
        <v>280</v>
      </c>
    </row>
    <row r="3" spans="1:5">
      <c r="A3" s="46" t="s">
        <v>281</v>
      </c>
    </row>
    <row r="5" spans="1:5">
      <c r="A5" s="47" t="s">
        <v>214</v>
      </c>
      <c r="B5" s="47" t="s">
        <v>282</v>
      </c>
      <c r="C5" s="47" t="s">
        <v>283</v>
      </c>
      <c r="D5" s="47" t="s">
        <v>284</v>
      </c>
      <c r="E5" s="47" t="s">
        <v>285</v>
      </c>
    </row>
    <row r="6" spans="1:5" ht="40.5" customHeight="1">
      <c r="A6" s="48" t="s">
        <v>104</v>
      </c>
      <c r="B6" s="49" t="s">
        <v>286</v>
      </c>
      <c r="C6" s="49" t="s">
        <v>287</v>
      </c>
      <c r="D6" s="49" t="s">
        <v>288</v>
      </c>
      <c r="E6" s="49" t="s">
        <v>289</v>
      </c>
    </row>
    <row r="7" spans="1:5" ht="38.25">
      <c r="A7" s="50" t="s">
        <v>101</v>
      </c>
      <c r="B7" s="51" t="s">
        <v>290</v>
      </c>
      <c r="C7" s="51" t="s">
        <v>291</v>
      </c>
      <c r="D7" s="51" t="s">
        <v>292</v>
      </c>
      <c r="E7" s="51" t="s">
        <v>293</v>
      </c>
    </row>
    <row r="8" spans="1:5" ht="39.75" customHeight="1">
      <c r="A8" s="52" t="s">
        <v>102</v>
      </c>
      <c r="B8" s="53" t="s">
        <v>294</v>
      </c>
      <c r="C8" s="53" t="s">
        <v>295</v>
      </c>
      <c r="D8" s="53" t="s">
        <v>296</v>
      </c>
      <c r="E8" s="53" t="s">
        <v>297</v>
      </c>
    </row>
    <row r="9" spans="1:5" ht="38.25">
      <c r="A9" s="54" t="s">
        <v>103</v>
      </c>
      <c r="B9" s="55" t="s">
        <v>298</v>
      </c>
      <c r="C9" s="55" t="s">
        <v>299</v>
      </c>
      <c r="D9" s="55" t="s">
        <v>300</v>
      </c>
      <c r="E9" s="55" t="s">
        <v>301</v>
      </c>
    </row>
    <row r="12" spans="1:5" ht="15.75">
      <c r="A12" s="56" t="s">
        <v>302</v>
      </c>
    </row>
    <row r="13" spans="1:5">
      <c r="A13" s="42" t="s">
        <v>303</v>
      </c>
    </row>
    <row r="14" spans="1:5">
      <c r="A14" s="42" t="s">
        <v>304</v>
      </c>
    </row>
    <row r="15" spans="1:5">
      <c r="A15" s="42"/>
    </row>
    <row r="16" spans="1:5">
      <c r="A16" s="57" t="s">
        <v>266</v>
      </c>
    </row>
    <row r="17" spans="1:2">
      <c r="A17" s="42" t="s">
        <v>305</v>
      </c>
    </row>
    <row r="19" spans="1:2" ht="15.75">
      <c r="A19" s="58" t="s">
        <v>306</v>
      </c>
    </row>
    <row r="21" spans="1:2" ht="15.75">
      <c r="A21" s="56" t="s">
        <v>307</v>
      </c>
    </row>
    <row r="22" spans="1:2">
      <c r="A22" s="47" t="s">
        <v>308</v>
      </c>
      <c r="B22" s="47" t="s">
        <v>309</v>
      </c>
    </row>
    <row r="23" spans="1:2" ht="25.5">
      <c r="A23" s="59" t="s">
        <v>310</v>
      </c>
      <c r="B23" s="60" t="s">
        <v>311</v>
      </c>
    </row>
    <row r="24" spans="1:2" ht="25.5">
      <c r="A24" s="61" t="s">
        <v>312</v>
      </c>
      <c r="B24" s="62" t="s">
        <v>313</v>
      </c>
    </row>
    <row r="25" spans="1:2" ht="25.5">
      <c r="A25" s="59" t="s">
        <v>314</v>
      </c>
      <c r="B25" s="60" t="s">
        <v>315</v>
      </c>
    </row>
    <row r="26" spans="1:2" ht="25.5">
      <c r="A26" s="61" t="s">
        <v>316</v>
      </c>
      <c r="B26" s="62" t="s">
        <v>317</v>
      </c>
    </row>
    <row r="27" spans="1:2" ht="25.5">
      <c r="A27" s="59" t="s">
        <v>318</v>
      </c>
      <c r="B27" s="60" t="s">
        <v>319</v>
      </c>
    </row>
    <row r="28" spans="1:2" ht="38.25">
      <c r="A28" s="61" t="s">
        <v>320</v>
      </c>
      <c r="B28" s="62" t="s">
        <v>321</v>
      </c>
    </row>
    <row r="29" spans="1:2" ht="38.25">
      <c r="A29" s="59" t="s">
        <v>322</v>
      </c>
      <c r="B29" s="60" t="s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8355-E577-44BC-96E9-CF9957910958}">
  <dimension ref="A1:I39"/>
  <sheetViews>
    <sheetView workbookViewId="0">
      <selection activeCell="G27" sqref="G27"/>
    </sheetView>
  </sheetViews>
  <sheetFormatPr defaultRowHeight="15"/>
  <cols>
    <col min="1" max="1" width="13.5703125" customWidth="1"/>
    <col min="2" max="2" width="34.28515625" customWidth="1"/>
    <col min="3" max="3" width="15" customWidth="1"/>
    <col min="4" max="4" width="14.5703125" customWidth="1"/>
    <col min="5" max="5" width="19.5703125" customWidth="1"/>
    <col min="6" max="6" width="27.28515625" customWidth="1"/>
    <col min="7" max="7" width="49.140625" customWidth="1"/>
    <col min="8" max="8" width="30.28515625" customWidth="1"/>
    <col min="9" max="9" width="64.7109375" customWidth="1"/>
  </cols>
  <sheetData>
    <row r="1" spans="1:9" ht="20.25">
      <c r="A1" s="45" t="s">
        <v>324</v>
      </c>
    </row>
    <row r="3" spans="1:9">
      <c r="A3" s="46" t="s">
        <v>325</v>
      </c>
    </row>
    <row r="5" spans="1:9">
      <c r="A5" s="47" t="s">
        <v>326</v>
      </c>
      <c r="B5" s="47" t="s">
        <v>327</v>
      </c>
      <c r="C5" s="47" t="s">
        <v>328</v>
      </c>
      <c r="D5" s="47"/>
      <c r="E5" s="47" t="s">
        <v>329</v>
      </c>
      <c r="F5" s="47" t="s">
        <v>330</v>
      </c>
      <c r="G5" s="47" t="s">
        <v>331</v>
      </c>
      <c r="H5" s="47" t="s">
        <v>332</v>
      </c>
      <c r="I5" s="47" t="s">
        <v>333</v>
      </c>
    </row>
    <row r="6" spans="1:9" s="103" customFormat="1">
      <c r="A6" s="102">
        <v>1</v>
      </c>
      <c r="B6" s="102" t="s">
        <v>334</v>
      </c>
      <c r="C6" s="121" t="s">
        <v>335</v>
      </c>
      <c r="D6" s="121"/>
      <c r="E6" s="102" t="s">
        <v>102</v>
      </c>
      <c r="F6" s="102" t="s">
        <v>336</v>
      </c>
      <c r="G6" s="102" t="s">
        <v>337</v>
      </c>
      <c r="H6" s="102" t="s">
        <v>338</v>
      </c>
      <c r="I6" s="102" t="s">
        <v>339</v>
      </c>
    </row>
    <row r="7" spans="1:9" s="103" customFormat="1">
      <c r="A7" s="102">
        <v>2</v>
      </c>
      <c r="B7" s="102" t="s">
        <v>250</v>
      </c>
      <c r="C7" s="120" t="s">
        <v>340</v>
      </c>
      <c r="D7" s="120"/>
      <c r="E7" s="102" t="s">
        <v>341</v>
      </c>
      <c r="F7" s="102" t="s">
        <v>342</v>
      </c>
      <c r="G7" s="102" t="s">
        <v>343</v>
      </c>
      <c r="H7" s="102" t="s">
        <v>338</v>
      </c>
      <c r="I7" s="102" t="s">
        <v>344</v>
      </c>
    </row>
    <row r="8" spans="1:9" ht="25.5">
      <c r="A8" s="53">
        <v>3</v>
      </c>
      <c r="B8" s="53" t="s">
        <v>345</v>
      </c>
      <c r="C8" s="64" t="s">
        <v>340</v>
      </c>
      <c r="D8" s="64"/>
      <c r="E8" s="53" t="s">
        <v>346</v>
      </c>
      <c r="F8" s="53" t="s">
        <v>347</v>
      </c>
      <c r="G8" s="53" t="s">
        <v>348</v>
      </c>
      <c r="H8" s="53" t="s">
        <v>338</v>
      </c>
      <c r="I8" s="53" t="s">
        <v>349</v>
      </c>
    </row>
    <row r="9" spans="1:9">
      <c r="A9" s="53">
        <v>4</v>
      </c>
      <c r="B9" s="53" t="s">
        <v>350</v>
      </c>
      <c r="C9" s="63" t="s">
        <v>335</v>
      </c>
      <c r="D9" s="63"/>
      <c r="E9" s="53" t="s">
        <v>346</v>
      </c>
      <c r="F9" s="53" t="s">
        <v>351</v>
      </c>
      <c r="G9" s="53" t="s">
        <v>352</v>
      </c>
      <c r="H9" s="53" t="s">
        <v>338</v>
      </c>
      <c r="I9" s="53" t="s">
        <v>353</v>
      </c>
    </row>
    <row r="10" spans="1:9" s="103" customFormat="1">
      <c r="A10" s="102">
        <v>5</v>
      </c>
      <c r="B10" s="102" t="s">
        <v>354</v>
      </c>
      <c r="C10" s="121" t="s">
        <v>335</v>
      </c>
      <c r="D10" s="121"/>
      <c r="E10" s="102" t="s">
        <v>103</v>
      </c>
      <c r="F10" s="102" t="s">
        <v>355</v>
      </c>
      <c r="G10" s="102" t="s">
        <v>356</v>
      </c>
      <c r="H10" s="102" t="s">
        <v>338</v>
      </c>
      <c r="I10" s="102" t="s">
        <v>357</v>
      </c>
    </row>
    <row r="11" spans="1:9" ht="25.5">
      <c r="A11" s="53">
        <v>6</v>
      </c>
      <c r="B11" s="53" t="s">
        <v>358</v>
      </c>
      <c r="C11" s="63" t="s">
        <v>335</v>
      </c>
      <c r="D11" s="63"/>
      <c r="E11" s="53" t="s">
        <v>103</v>
      </c>
      <c r="F11" s="53" t="s">
        <v>359</v>
      </c>
      <c r="G11" s="53" t="s">
        <v>360</v>
      </c>
      <c r="H11" s="53" t="s">
        <v>338</v>
      </c>
      <c r="I11" s="53" t="s">
        <v>361</v>
      </c>
    </row>
    <row r="12" spans="1:9">
      <c r="A12" s="53">
        <v>7</v>
      </c>
      <c r="B12" s="53" t="s">
        <v>362</v>
      </c>
      <c r="C12" s="63" t="s">
        <v>335</v>
      </c>
      <c r="D12" s="63"/>
      <c r="E12" s="53" t="s">
        <v>101</v>
      </c>
      <c r="F12" s="53" t="s">
        <v>363</v>
      </c>
      <c r="G12" s="53" t="s">
        <v>364</v>
      </c>
      <c r="H12" s="53" t="s">
        <v>338</v>
      </c>
      <c r="I12" s="53" t="s">
        <v>365</v>
      </c>
    </row>
    <row r="13" spans="1:9">
      <c r="A13" s="53">
        <v>8</v>
      </c>
      <c r="B13" s="53" t="s">
        <v>366</v>
      </c>
      <c r="C13" s="63" t="s">
        <v>335</v>
      </c>
      <c r="D13" s="63"/>
      <c r="E13" s="53" t="s">
        <v>102</v>
      </c>
      <c r="F13" s="53" t="s">
        <v>367</v>
      </c>
      <c r="G13" s="53" t="s">
        <v>368</v>
      </c>
      <c r="H13" s="53" t="s">
        <v>338</v>
      </c>
      <c r="I13" s="53" t="s">
        <v>369</v>
      </c>
    </row>
    <row r="14" spans="1:9" s="124" customFormat="1">
      <c r="A14" s="122">
        <v>9</v>
      </c>
      <c r="B14" s="122" t="s">
        <v>370</v>
      </c>
      <c r="C14" s="123" t="s">
        <v>335</v>
      </c>
      <c r="D14" s="123" t="s">
        <v>371</v>
      </c>
      <c r="E14" s="122" t="s">
        <v>101</v>
      </c>
      <c r="F14" s="122" t="s">
        <v>372</v>
      </c>
      <c r="G14" s="122" t="s">
        <v>373</v>
      </c>
      <c r="H14" s="122" t="s">
        <v>374</v>
      </c>
      <c r="I14" s="122" t="s">
        <v>375</v>
      </c>
    </row>
    <row r="15" spans="1:9">
      <c r="A15" s="65">
        <v>10</v>
      </c>
      <c r="B15" s="65" t="s">
        <v>376</v>
      </c>
      <c r="C15" s="66" t="s">
        <v>335</v>
      </c>
      <c r="D15" s="66"/>
      <c r="E15" s="65" t="s">
        <v>101</v>
      </c>
      <c r="F15" s="65" t="s">
        <v>377</v>
      </c>
      <c r="G15" s="65" t="s">
        <v>378</v>
      </c>
      <c r="H15" s="65" t="s">
        <v>374</v>
      </c>
      <c r="I15" s="65" t="s">
        <v>379</v>
      </c>
    </row>
    <row r="16" spans="1:9" s="124" customFormat="1" ht="25.5">
      <c r="A16" s="122">
        <v>11</v>
      </c>
      <c r="B16" s="122" t="s">
        <v>380</v>
      </c>
      <c r="C16" s="125" t="s">
        <v>340</v>
      </c>
      <c r="D16" s="125"/>
      <c r="E16" s="122" t="s">
        <v>101</v>
      </c>
      <c r="F16" s="122" t="s">
        <v>381</v>
      </c>
      <c r="G16" s="122" t="s">
        <v>382</v>
      </c>
      <c r="H16" s="122" t="s">
        <v>374</v>
      </c>
      <c r="I16" s="122" t="s">
        <v>383</v>
      </c>
    </row>
    <row r="17" spans="1:9" ht="25.5">
      <c r="A17" s="55">
        <v>12</v>
      </c>
      <c r="B17" s="55" t="s">
        <v>384</v>
      </c>
      <c r="C17" s="67" t="s">
        <v>340</v>
      </c>
      <c r="D17" s="67"/>
      <c r="E17" s="55" t="s">
        <v>104</v>
      </c>
      <c r="F17" s="55" t="s">
        <v>385</v>
      </c>
      <c r="G17" s="55" t="s">
        <v>386</v>
      </c>
      <c r="H17" s="55" t="s">
        <v>387</v>
      </c>
      <c r="I17" s="55" t="s">
        <v>388</v>
      </c>
    </row>
    <row r="18" spans="1:9" ht="25.5">
      <c r="A18" s="55">
        <v>13</v>
      </c>
      <c r="B18" s="55" t="s">
        <v>389</v>
      </c>
      <c r="C18" s="68" t="s">
        <v>335</v>
      </c>
      <c r="D18" s="68"/>
      <c r="E18" s="55" t="s">
        <v>104</v>
      </c>
      <c r="F18" s="55" t="s">
        <v>385</v>
      </c>
      <c r="G18" s="55" t="s">
        <v>390</v>
      </c>
      <c r="H18" s="55" t="s">
        <v>391</v>
      </c>
      <c r="I18" s="55" t="s">
        <v>392</v>
      </c>
    </row>
    <row r="19" spans="1:9">
      <c r="A19" s="55">
        <v>14</v>
      </c>
      <c r="B19" s="55" t="s">
        <v>393</v>
      </c>
      <c r="C19" s="68" t="s">
        <v>335</v>
      </c>
      <c r="D19" s="68"/>
      <c r="E19" s="55" t="s">
        <v>104</v>
      </c>
      <c r="F19" s="55" t="s">
        <v>377</v>
      </c>
      <c r="G19" s="55" t="s">
        <v>394</v>
      </c>
      <c r="H19" s="55" t="s">
        <v>391</v>
      </c>
      <c r="I19" s="55" t="s">
        <v>395</v>
      </c>
    </row>
    <row r="20" spans="1:9">
      <c r="A20" s="69">
        <v>15</v>
      </c>
      <c r="B20" s="69" t="s">
        <v>396</v>
      </c>
      <c r="C20" s="70" t="s">
        <v>340</v>
      </c>
      <c r="D20" s="70"/>
      <c r="E20" s="69" t="s">
        <v>397</v>
      </c>
      <c r="F20" s="69" t="s">
        <v>398</v>
      </c>
      <c r="G20" s="69" t="s">
        <v>399</v>
      </c>
      <c r="H20" s="69" t="s">
        <v>400</v>
      </c>
      <c r="I20" s="69" t="s">
        <v>401</v>
      </c>
    </row>
    <row r="21" spans="1:9">
      <c r="A21" s="69">
        <v>16</v>
      </c>
      <c r="B21" s="69" t="s">
        <v>402</v>
      </c>
      <c r="C21" s="71" t="s">
        <v>335</v>
      </c>
      <c r="D21" s="71"/>
      <c r="E21" s="69" t="s">
        <v>403</v>
      </c>
      <c r="F21" s="69" t="s">
        <v>404</v>
      </c>
      <c r="G21" s="69" t="s">
        <v>405</v>
      </c>
      <c r="H21" s="69" t="s">
        <v>406</v>
      </c>
      <c r="I21" s="69" t="s">
        <v>407</v>
      </c>
    </row>
    <row r="24" spans="1:9" ht="15.75">
      <c r="A24" s="56" t="s">
        <v>408</v>
      </c>
    </row>
    <row r="25" spans="1:9">
      <c r="A25" s="47" t="s">
        <v>34</v>
      </c>
      <c r="B25" s="47" t="s">
        <v>40</v>
      </c>
      <c r="C25" s="47" t="s">
        <v>409</v>
      </c>
      <c r="D25" s="126"/>
    </row>
    <row r="26" spans="1:9" ht="38.25">
      <c r="A26" s="60" t="s">
        <v>195</v>
      </c>
      <c r="B26" s="60" t="s">
        <v>136</v>
      </c>
      <c r="C26" s="60" t="s">
        <v>410</v>
      </c>
      <c r="D26" s="127"/>
    </row>
    <row r="27" spans="1:9" ht="25.5">
      <c r="A27" s="62" t="s">
        <v>42</v>
      </c>
      <c r="B27" s="62" t="s">
        <v>44</v>
      </c>
      <c r="C27" s="62" t="s">
        <v>411</v>
      </c>
      <c r="D27" s="128"/>
    </row>
    <row r="28" spans="1:9" ht="25.5">
      <c r="A28" s="60" t="s">
        <v>46</v>
      </c>
      <c r="B28" s="60" t="s">
        <v>48</v>
      </c>
      <c r="C28" s="60" t="s">
        <v>412</v>
      </c>
      <c r="D28" s="127"/>
    </row>
    <row r="29" spans="1:9" ht="25.5">
      <c r="A29" s="62" t="s">
        <v>50</v>
      </c>
      <c r="B29" s="62" t="s">
        <v>52</v>
      </c>
      <c r="C29" s="62" t="s">
        <v>411</v>
      </c>
      <c r="D29" s="128"/>
    </row>
    <row r="31" spans="1:9">
      <c r="A31" s="41" t="s">
        <v>413</v>
      </c>
    </row>
    <row r="32" spans="1:9">
      <c r="A32" s="72" t="s">
        <v>294</v>
      </c>
      <c r="B32" s="44" t="s">
        <v>414</v>
      </c>
    </row>
    <row r="33" spans="1:2">
      <c r="A33" s="73" t="s">
        <v>415</v>
      </c>
      <c r="B33" s="44" t="s">
        <v>416</v>
      </c>
    </row>
    <row r="34" spans="1:2">
      <c r="A34" s="74" t="s">
        <v>298</v>
      </c>
      <c r="B34" s="44" t="s">
        <v>417</v>
      </c>
    </row>
    <row r="35" spans="1:2">
      <c r="A35" s="75" t="s">
        <v>418</v>
      </c>
      <c r="B35" s="44" t="s">
        <v>419</v>
      </c>
    </row>
    <row r="37" spans="1:2">
      <c r="A37" s="41" t="s">
        <v>420</v>
      </c>
    </row>
    <row r="38" spans="1:2">
      <c r="A38" s="76" t="s">
        <v>340</v>
      </c>
      <c r="B38" s="44" t="s">
        <v>421</v>
      </c>
    </row>
    <row r="39" spans="1:2">
      <c r="A39" s="77" t="s">
        <v>335</v>
      </c>
      <c r="B39" s="44" t="s">
        <v>422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A6DA6-2DF2-48B7-B3A9-4E0BB56809FE}">
  <dimension ref="A1:D27"/>
  <sheetViews>
    <sheetView topLeftCell="A6" workbookViewId="0">
      <selection activeCell="B16" sqref="B16"/>
    </sheetView>
  </sheetViews>
  <sheetFormatPr defaultRowHeight="15"/>
  <cols>
    <col min="1" max="1" width="35.5703125" customWidth="1"/>
    <col min="2" max="2" width="40.42578125" customWidth="1"/>
    <col min="3" max="3" width="101.28515625" customWidth="1"/>
    <col min="4" max="4" width="37.42578125" customWidth="1"/>
  </cols>
  <sheetData>
    <row r="1" spans="1:3" ht="20.25">
      <c r="A1" s="45" t="s">
        <v>423</v>
      </c>
    </row>
    <row r="2" spans="1:3" ht="16.5">
      <c r="A2" s="40" t="s">
        <v>424</v>
      </c>
    </row>
    <row r="4" spans="1:3" ht="15.75">
      <c r="A4" s="56" t="s">
        <v>425</v>
      </c>
    </row>
    <row r="5" spans="1:3">
      <c r="A5" s="42" t="s">
        <v>426</v>
      </c>
    </row>
    <row r="7" spans="1:3" ht="15.75">
      <c r="A7" s="56" t="s">
        <v>427</v>
      </c>
    </row>
    <row r="8" spans="1:3">
      <c r="A8" s="42" t="s">
        <v>428</v>
      </c>
    </row>
    <row r="10" spans="1:3" ht="15.75">
      <c r="A10" s="56" t="s">
        <v>429</v>
      </c>
    </row>
    <row r="11" spans="1:3">
      <c r="A11" s="47" t="s">
        <v>430</v>
      </c>
      <c r="B11" s="47" t="s">
        <v>431</v>
      </c>
      <c r="C11" s="47" t="s">
        <v>432</v>
      </c>
    </row>
    <row r="12" spans="1:3">
      <c r="A12" s="59" t="s">
        <v>433</v>
      </c>
      <c r="B12" s="60" t="s">
        <v>434</v>
      </c>
      <c r="C12" s="60" t="s">
        <v>435</v>
      </c>
    </row>
    <row r="13" spans="1:3" ht="25.5">
      <c r="A13" s="61" t="s">
        <v>436</v>
      </c>
      <c r="B13" s="62" t="s">
        <v>437</v>
      </c>
      <c r="C13" s="62" t="s">
        <v>438</v>
      </c>
    </row>
    <row r="14" spans="1:3">
      <c r="A14" s="59" t="s">
        <v>439</v>
      </c>
      <c r="B14" s="60" t="s">
        <v>440</v>
      </c>
      <c r="C14" s="60" t="s">
        <v>441</v>
      </c>
    </row>
    <row r="15" spans="1:3">
      <c r="A15" s="61" t="s">
        <v>442</v>
      </c>
      <c r="B15" s="62" t="s">
        <v>443</v>
      </c>
      <c r="C15" s="62" t="s">
        <v>444</v>
      </c>
    </row>
    <row r="16" spans="1:3">
      <c r="A16" s="59" t="s">
        <v>445</v>
      </c>
      <c r="B16" s="60" t="s">
        <v>446</v>
      </c>
      <c r="C16" s="60" t="s">
        <v>447</v>
      </c>
    </row>
    <row r="19" spans="1:4" ht="15.75">
      <c r="A19" s="56" t="s">
        <v>448</v>
      </c>
    </row>
    <row r="20" spans="1:4">
      <c r="A20" s="47" t="s">
        <v>449</v>
      </c>
      <c r="B20" s="47" t="s">
        <v>450</v>
      </c>
      <c r="C20" s="47" t="s">
        <v>451</v>
      </c>
      <c r="D20" s="47" t="s">
        <v>452</v>
      </c>
    </row>
    <row r="21" spans="1:4">
      <c r="A21" s="50" t="s">
        <v>453</v>
      </c>
      <c r="B21" s="51" t="s">
        <v>454</v>
      </c>
      <c r="C21" s="51" t="s">
        <v>454</v>
      </c>
      <c r="D21" s="51" t="s">
        <v>454</v>
      </c>
    </row>
    <row r="22" spans="1:4">
      <c r="A22" s="54" t="s">
        <v>455</v>
      </c>
      <c r="B22" s="55" t="s">
        <v>456</v>
      </c>
      <c r="C22" s="55" t="s">
        <v>457</v>
      </c>
      <c r="D22" s="55" t="s">
        <v>458</v>
      </c>
    </row>
    <row r="24" spans="1:4">
      <c r="A24" s="78" t="s">
        <v>459</v>
      </c>
    </row>
    <row r="26" spans="1:4" ht="15.75">
      <c r="A26" s="56" t="s">
        <v>460</v>
      </c>
    </row>
    <row r="27" spans="1:4">
      <c r="A27" s="42" t="s">
        <v>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2FE9A-A88B-46D3-A46E-F5038BDDEEB5}">
  <dimension ref="A1:G64"/>
  <sheetViews>
    <sheetView topLeftCell="A42" workbookViewId="0"/>
  </sheetViews>
  <sheetFormatPr defaultRowHeight="15"/>
  <cols>
    <col min="1" max="1" width="40.42578125" customWidth="1"/>
    <col min="2" max="2" width="52" customWidth="1"/>
    <col min="3" max="3" width="59.5703125" customWidth="1"/>
    <col min="4" max="4" width="63.140625" customWidth="1"/>
    <col min="5" max="5" width="20.140625" customWidth="1"/>
  </cols>
  <sheetData>
    <row r="1" spans="1:4" ht="20.25">
      <c r="A1" s="45" t="s">
        <v>462</v>
      </c>
    </row>
    <row r="2" spans="1:4" ht="16.5">
      <c r="A2" s="40" t="s">
        <v>463</v>
      </c>
    </row>
    <row r="4" spans="1:4" ht="16.5">
      <c r="A4" s="79" t="s">
        <v>464</v>
      </c>
    </row>
    <row r="5" spans="1:4">
      <c r="A5" s="80" t="s">
        <v>465</v>
      </c>
      <c r="B5" s="80" t="s">
        <v>466</v>
      </c>
      <c r="C5" s="80" t="s">
        <v>467</v>
      </c>
      <c r="D5" s="80" t="s">
        <v>468</v>
      </c>
    </row>
    <row r="6" spans="1:4">
      <c r="A6" s="65" t="s">
        <v>469</v>
      </c>
      <c r="B6" s="65" t="s">
        <v>470</v>
      </c>
      <c r="C6" s="65" t="s">
        <v>471</v>
      </c>
      <c r="D6" s="65" t="s">
        <v>472</v>
      </c>
    </row>
    <row r="7" spans="1:4">
      <c r="A7" s="62" t="s">
        <v>185</v>
      </c>
      <c r="B7" s="62" t="s">
        <v>473</v>
      </c>
      <c r="C7" s="62" t="s">
        <v>474</v>
      </c>
      <c r="D7" s="62" t="s">
        <v>475</v>
      </c>
    </row>
    <row r="8" spans="1:4">
      <c r="A8" s="65" t="s">
        <v>476</v>
      </c>
      <c r="B8" s="65" t="s">
        <v>473</v>
      </c>
      <c r="C8" s="65" t="s">
        <v>474</v>
      </c>
      <c r="D8" s="65" t="s">
        <v>477</v>
      </c>
    </row>
    <row r="9" spans="1:4">
      <c r="A9" s="62" t="s">
        <v>228</v>
      </c>
      <c r="B9" s="62" t="s">
        <v>473</v>
      </c>
      <c r="C9" s="62" t="s">
        <v>478</v>
      </c>
      <c r="D9" s="62" t="s">
        <v>479</v>
      </c>
    </row>
    <row r="12" spans="1:4" ht="16.5">
      <c r="A12" s="81" t="s">
        <v>480</v>
      </c>
    </row>
    <row r="13" spans="1:4">
      <c r="A13" s="82" t="s">
        <v>481</v>
      </c>
      <c r="B13" s="82" t="s">
        <v>482</v>
      </c>
      <c r="C13" s="82" t="s">
        <v>483</v>
      </c>
    </row>
    <row r="14" spans="1:4">
      <c r="A14" s="51" t="s">
        <v>484</v>
      </c>
      <c r="B14" s="51" t="s">
        <v>337</v>
      </c>
      <c r="C14" s="51" t="s">
        <v>485</v>
      </c>
    </row>
    <row r="15" spans="1:4">
      <c r="A15" s="62" t="s">
        <v>227</v>
      </c>
      <c r="B15" s="62" t="s">
        <v>356</v>
      </c>
      <c r="C15" s="62" t="s">
        <v>486</v>
      </c>
    </row>
    <row r="16" spans="1:4">
      <c r="A16" s="51" t="s">
        <v>487</v>
      </c>
      <c r="B16" s="51" t="s">
        <v>488</v>
      </c>
      <c r="C16" s="51" t="s">
        <v>486</v>
      </c>
    </row>
    <row r="17" spans="1:5">
      <c r="A17" s="62" t="s">
        <v>489</v>
      </c>
      <c r="B17" s="62" t="s">
        <v>364</v>
      </c>
      <c r="C17" s="62" t="s">
        <v>227</v>
      </c>
    </row>
    <row r="18" spans="1:5">
      <c r="A18" s="51" t="s">
        <v>229</v>
      </c>
      <c r="B18" s="51" t="s">
        <v>490</v>
      </c>
      <c r="C18" s="51" t="s">
        <v>491</v>
      </c>
    </row>
    <row r="19" spans="1:5">
      <c r="A19" s="62" t="s">
        <v>492</v>
      </c>
      <c r="B19" s="62" t="s">
        <v>390</v>
      </c>
      <c r="C19" s="62" t="s">
        <v>493</v>
      </c>
    </row>
    <row r="20" spans="1:5">
      <c r="A20" s="51" t="s">
        <v>494</v>
      </c>
      <c r="B20" s="51" t="s">
        <v>495</v>
      </c>
      <c r="C20" s="51" t="s">
        <v>496</v>
      </c>
    </row>
    <row r="23" spans="1:5" ht="16.5">
      <c r="A23" s="83" t="s">
        <v>497</v>
      </c>
    </row>
    <row r="24" spans="1:5">
      <c r="A24" s="84" t="s">
        <v>214</v>
      </c>
      <c r="B24" s="84" t="s">
        <v>498</v>
      </c>
      <c r="C24" s="84" t="s">
        <v>499</v>
      </c>
      <c r="D24" s="84" t="s">
        <v>500</v>
      </c>
      <c r="E24" s="84" t="s">
        <v>501</v>
      </c>
    </row>
    <row r="25" spans="1:5">
      <c r="A25" s="50" t="s">
        <v>101</v>
      </c>
      <c r="B25" s="51" t="s">
        <v>502</v>
      </c>
      <c r="C25" s="51" t="s">
        <v>503</v>
      </c>
      <c r="D25" s="51" t="s">
        <v>504</v>
      </c>
      <c r="E25" s="51" t="s">
        <v>505</v>
      </c>
    </row>
    <row r="26" spans="1:5">
      <c r="A26" s="52" t="s">
        <v>102</v>
      </c>
      <c r="B26" s="53" t="s">
        <v>506</v>
      </c>
      <c r="C26" s="53" t="s">
        <v>507</v>
      </c>
      <c r="D26" s="53" t="s">
        <v>508</v>
      </c>
      <c r="E26" s="53" t="s">
        <v>509</v>
      </c>
    </row>
    <row r="27" spans="1:5">
      <c r="A27" s="54" t="s">
        <v>103</v>
      </c>
      <c r="B27" s="55" t="s">
        <v>510</v>
      </c>
      <c r="C27" s="55" t="s">
        <v>511</v>
      </c>
      <c r="D27" s="55" t="s">
        <v>512</v>
      </c>
      <c r="E27" s="55" t="s">
        <v>513</v>
      </c>
    </row>
    <row r="28" spans="1:5">
      <c r="A28" s="48" t="s">
        <v>104</v>
      </c>
      <c r="B28" s="49" t="s">
        <v>492</v>
      </c>
      <c r="C28" s="49" t="s">
        <v>514</v>
      </c>
      <c r="D28" s="49" t="s">
        <v>515</v>
      </c>
      <c r="E28" s="49" t="s">
        <v>516</v>
      </c>
    </row>
    <row r="31" spans="1:5" ht="16.5">
      <c r="A31" s="85" t="s">
        <v>517</v>
      </c>
    </row>
    <row r="32" spans="1:5">
      <c r="A32" s="57" t="s">
        <v>266</v>
      </c>
    </row>
    <row r="33" spans="1:3">
      <c r="A33" s="42" t="s">
        <v>518</v>
      </c>
    </row>
    <row r="34" spans="1:3">
      <c r="A34" s="42" t="s">
        <v>519</v>
      </c>
    </row>
    <row r="36" spans="1:3" ht="16.5">
      <c r="A36" s="86" t="s">
        <v>520</v>
      </c>
    </row>
    <row r="37" spans="1:3">
      <c r="A37" s="42" t="s">
        <v>521</v>
      </c>
    </row>
    <row r="38" spans="1:3">
      <c r="A38" s="42" t="s">
        <v>522</v>
      </c>
    </row>
    <row r="39" spans="1:3">
      <c r="A39" s="87" t="s">
        <v>523</v>
      </c>
    </row>
    <row r="41" spans="1:3" ht="15.75">
      <c r="A41" s="56" t="s">
        <v>524</v>
      </c>
    </row>
    <row r="42" spans="1:3">
      <c r="A42" s="47" t="s">
        <v>525</v>
      </c>
      <c r="B42" s="47" t="s">
        <v>526</v>
      </c>
      <c r="C42" s="47" t="s">
        <v>527</v>
      </c>
    </row>
    <row r="43" spans="1:3">
      <c r="A43" s="65" t="s">
        <v>528</v>
      </c>
      <c r="B43" s="65" t="s">
        <v>185</v>
      </c>
      <c r="C43" s="65" t="s">
        <v>529</v>
      </c>
    </row>
    <row r="44" spans="1:3">
      <c r="A44" s="65" t="s">
        <v>528</v>
      </c>
      <c r="B44" s="65" t="s">
        <v>476</v>
      </c>
      <c r="C44" s="65" t="s">
        <v>530</v>
      </c>
    </row>
    <row r="45" spans="1:3">
      <c r="A45" s="65" t="s">
        <v>528</v>
      </c>
      <c r="B45" s="65" t="s">
        <v>228</v>
      </c>
      <c r="C45" s="65" t="s">
        <v>42</v>
      </c>
    </row>
    <row r="46" spans="1:3">
      <c r="A46" s="51" t="s">
        <v>531</v>
      </c>
      <c r="B46" s="51" t="s">
        <v>484</v>
      </c>
      <c r="C46" s="51" t="s">
        <v>532</v>
      </c>
    </row>
    <row r="47" spans="1:3">
      <c r="A47" s="51" t="s">
        <v>531</v>
      </c>
      <c r="B47" s="51" t="s">
        <v>227</v>
      </c>
      <c r="C47" s="51" t="s">
        <v>533</v>
      </c>
    </row>
    <row r="48" spans="1:3">
      <c r="A48" s="51" t="s">
        <v>531</v>
      </c>
      <c r="B48" s="51" t="s">
        <v>489</v>
      </c>
      <c r="C48" s="51" t="s">
        <v>534</v>
      </c>
    </row>
    <row r="49" spans="1:7">
      <c r="A49" s="51" t="s">
        <v>531</v>
      </c>
      <c r="B49" s="51" t="s">
        <v>492</v>
      </c>
      <c r="C49" s="51" t="s">
        <v>535</v>
      </c>
    </row>
    <row r="50" spans="1:7">
      <c r="A50" s="51" t="s">
        <v>531</v>
      </c>
      <c r="B50" s="51" t="s">
        <v>229</v>
      </c>
      <c r="C50" s="51" t="s">
        <v>536</v>
      </c>
    </row>
    <row r="51" spans="1:7">
      <c r="A51" s="69" t="s">
        <v>537</v>
      </c>
      <c r="B51" s="69" t="s">
        <v>538</v>
      </c>
      <c r="C51" s="69" t="s">
        <v>539</v>
      </c>
    </row>
    <row r="52" spans="1:7">
      <c r="A52" s="69" t="s">
        <v>537</v>
      </c>
      <c r="B52" s="69" t="s">
        <v>540</v>
      </c>
      <c r="C52" s="69" t="s">
        <v>541</v>
      </c>
    </row>
    <row r="53" spans="1:7">
      <c r="A53" s="69" t="s">
        <v>537</v>
      </c>
      <c r="B53" s="69" t="s">
        <v>542</v>
      </c>
      <c r="C53" s="69" t="s">
        <v>543</v>
      </c>
    </row>
    <row r="54" spans="1:7">
      <c r="A54" s="69" t="s">
        <v>537</v>
      </c>
      <c r="B54" s="69" t="s">
        <v>544</v>
      </c>
      <c r="C54" s="69" t="s">
        <v>545</v>
      </c>
    </row>
    <row r="55" spans="1:7">
      <c r="A55" s="49" t="s">
        <v>546</v>
      </c>
      <c r="B55" s="49" t="s">
        <v>547</v>
      </c>
      <c r="C55" s="49" t="s">
        <v>548</v>
      </c>
    </row>
    <row r="56" spans="1:7">
      <c r="A56" s="55" t="s">
        <v>549</v>
      </c>
      <c r="B56" s="55" t="s">
        <v>550</v>
      </c>
      <c r="C56" s="55" t="s">
        <v>551</v>
      </c>
    </row>
    <row r="58" spans="1:7" ht="15.75">
      <c r="A58" s="56" t="s">
        <v>552</v>
      </c>
    </row>
    <row r="59" spans="1:7" ht="30">
      <c r="A59" s="47" t="s">
        <v>33</v>
      </c>
      <c r="B59" s="47" t="s">
        <v>104</v>
      </c>
      <c r="C59" s="47" t="s">
        <v>101</v>
      </c>
      <c r="D59" s="47" t="s">
        <v>102</v>
      </c>
      <c r="E59" s="47" t="s">
        <v>103</v>
      </c>
      <c r="F59" s="47" t="s">
        <v>73</v>
      </c>
      <c r="G59" s="47" t="s">
        <v>553</v>
      </c>
    </row>
    <row r="60" spans="1:7">
      <c r="A60" s="60" t="s">
        <v>554</v>
      </c>
      <c r="B60" s="60">
        <v>80</v>
      </c>
      <c r="C60" s="60">
        <v>100</v>
      </c>
      <c r="D60" s="60">
        <v>18</v>
      </c>
      <c r="E60" s="60">
        <v>80</v>
      </c>
      <c r="F60" s="60">
        <v>66.400000000000006</v>
      </c>
      <c r="G60" s="60" t="s">
        <v>555</v>
      </c>
    </row>
    <row r="61" spans="1:7">
      <c r="A61" s="62" t="s">
        <v>556</v>
      </c>
      <c r="B61" s="62">
        <v>70</v>
      </c>
      <c r="C61" s="62">
        <v>67</v>
      </c>
      <c r="D61" s="62">
        <v>12</v>
      </c>
      <c r="E61" s="62">
        <v>45</v>
      </c>
      <c r="F61" s="62">
        <v>46.9</v>
      </c>
      <c r="G61" s="62" t="s">
        <v>557</v>
      </c>
    </row>
    <row r="62" spans="1:7">
      <c r="A62" s="60" t="s">
        <v>558</v>
      </c>
      <c r="B62" s="60">
        <v>60</v>
      </c>
      <c r="C62" s="60">
        <v>37</v>
      </c>
      <c r="D62" s="60">
        <v>6</v>
      </c>
      <c r="E62" s="60">
        <v>0</v>
      </c>
      <c r="F62" s="60">
        <v>26.1</v>
      </c>
      <c r="G62" s="60" t="s">
        <v>559</v>
      </c>
    </row>
    <row r="64" spans="1:7">
      <c r="A64" s="78" t="s">
        <v>560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3ABEA-AB03-4596-80B4-F8369489094E}">
  <dimension ref="A1:D53"/>
  <sheetViews>
    <sheetView topLeftCell="A39" workbookViewId="0">
      <selection activeCell="A26" sqref="A26"/>
    </sheetView>
  </sheetViews>
  <sheetFormatPr defaultRowHeight="15"/>
  <cols>
    <col min="1" max="1" width="64.5703125" customWidth="1"/>
    <col min="2" max="2" width="54" customWidth="1"/>
    <col min="3" max="3" width="68.140625" customWidth="1"/>
    <col min="4" max="4" width="45.5703125" customWidth="1"/>
  </cols>
  <sheetData>
    <row r="1" spans="1:3" ht="18">
      <c r="A1" s="88" t="s">
        <v>561</v>
      </c>
    </row>
    <row r="2" spans="1:3">
      <c r="A2" s="46" t="s">
        <v>562</v>
      </c>
    </row>
    <row r="4" spans="1:3" ht="15.75">
      <c r="A4" s="89" t="s">
        <v>563</v>
      </c>
    </row>
    <row r="5" spans="1:3">
      <c r="A5" s="90" t="s">
        <v>35</v>
      </c>
      <c r="B5" s="90" t="s">
        <v>56</v>
      </c>
      <c r="C5" s="90" t="s">
        <v>409</v>
      </c>
    </row>
    <row r="6" spans="1:3">
      <c r="A6" s="51">
        <v>1</v>
      </c>
      <c r="B6" s="51">
        <v>100</v>
      </c>
      <c r="C6" s="51" t="s">
        <v>564</v>
      </c>
    </row>
    <row r="7" spans="1:3">
      <c r="A7" s="62">
        <v>2</v>
      </c>
      <c r="B7" s="62">
        <v>85</v>
      </c>
      <c r="C7" s="62" t="s">
        <v>565</v>
      </c>
    </row>
    <row r="8" spans="1:3">
      <c r="A8" s="51">
        <v>3</v>
      </c>
      <c r="B8" s="51">
        <v>70</v>
      </c>
      <c r="C8" s="51" t="s">
        <v>566</v>
      </c>
    </row>
    <row r="9" spans="1:3">
      <c r="A9" s="62">
        <v>4</v>
      </c>
      <c r="B9" s="62">
        <v>55</v>
      </c>
      <c r="C9" s="62" t="s">
        <v>567</v>
      </c>
    </row>
    <row r="10" spans="1:3">
      <c r="A10" s="51">
        <v>5</v>
      </c>
      <c r="B10" s="51">
        <v>40</v>
      </c>
      <c r="C10" s="51" t="s">
        <v>568</v>
      </c>
    </row>
    <row r="11" spans="1:3">
      <c r="A11" s="62" t="s">
        <v>569</v>
      </c>
      <c r="B11" s="62">
        <v>25</v>
      </c>
      <c r="C11" s="62" t="s">
        <v>570</v>
      </c>
    </row>
    <row r="12" spans="1:3">
      <c r="A12" s="128"/>
      <c r="B12" s="128"/>
      <c r="C12" s="128"/>
    </row>
    <row r="13" spans="1:3" ht="15.75">
      <c r="A13" s="89" t="s">
        <v>571</v>
      </c>
    </row>
    <row r="14" spans="1:3">
      <c r="A14" s="90" t="s">
        <v>572</v>
      </c>
      <c r="B14" s="90" t="s">
        <v>56</v>
      </c>
      <c r="C14" s="90" t="s">
        <v>409</v>
      </c>
    </row>
    <row r="15" spans="1:3">
      <c r="A15" s="129" t="s">
        <v>569</v>
      </c>
      <c r="B15" s="51">
        <v>100</v>
      </c>
      <c r="C15" s="51"/>
    </row>
    <row r="16" spans="1:3">
      <c r="A16" s="51">
        <v>5</v>
      </c>
      <c r="B16" s="62">
        <v>85</v>
      </c>
      <c r="C16" s="62"/>
    </row>
    <row r="17" spans="1:3">
      <c r="A17" s="62">
        <v>4</v>
      </c>
      <c r="B17" s="51">
        <v>70</v>
      </c>
      <c r="C17" s="51"/>
    </row>
    <row r="18" spans="1:3">
      <c r="A18" s="62">
        <v>3</v>
      </c>
      <c r="B18" s="62">
        <v>55</v>
      </c>
      <c r="C18" s="62"/>
    </row>
    <row r="19" spans="1:3">
      <c r="A19" s="51">
        <v>2</v>
      </c>
      <c r="B19" s="51">
        <v>40</v>
      </c>
      <c r="C19" s="51"/>
    </row>
    <row r="20" spans="1:3">
      <c r="A20" s="62">
        <v>1</v>
      </c>
      <c r="B20" s="62">
        <v>25</v>
      </c>
      <c r="C20" s="62"/>
    </row>
    <row r="21" spans="1:3">
      <c r="A21" s="131" t="s">
        <v>573</v>
      </c>
      <c r="B21" s="128"/>
      <c r="C21" s="128"/>
    </row>
    <row r="22" spans="1:3" ht="15.75">
      <c r="A22" s="89" t="s">
        <v>574</v>
      </c>
    </row>
    <row r="23" spans="1:3">
      <c r="A23" s="90" t="s">
        <v>575</v>
      </c>
      <c r="B23" s="90" t="s">
        <v>56</v>
      </c>
      <c r="C23" s="90" t="s">
        <v>409</v>
      </c>
    </row>
    <row r="24" spans="1:3">
      <c r="A24" s="129" t="s">
        <v>576</v>
      </c>
      <c r="B24" s="51">
        <v>100</v>
      </c>
      <c r="C24" s="51"/>
    </row>
    <row r="25" spans="1:3">
      <c r="A25" s="130" t="s">
        <v>577</v>
      </c>
      <c r="B25" s="62">
        <v>85</v>
      </c>
      <c r="C25" s="62"/>
    </row>
    <row r="26" spans="1:3">
      <c r="A26" s="129" t="s">
        <v>578</v>
      </c>
      <c r="B26" s="51">
        <v>70</v>
      </c>
      <c r="C26" s="51"/>
    </row>
    <row r="27" spans="1:3">
      <c r="A27" s="129" t="s">
        <v>579</v>
      </c>
      <c r="B27" s="62">
        <v>55</v>
      </c>
      <c r="C27" s="62"/>
    </row>
    <row r="28" spans="1:3">
      <c r="A28" s="130" t="s">
        <v>580</v>
      </c>
      <c r="B28" s="51">
        <v>40</v>
      </c>
      <c r="C28" s="51"/>
    </row>
    <row r="29" spans="1:3">
      <c r="A29" s="129" t="s">
        <v>581</v>
      </c>
      <c r="B29" s="62">
        <v>25</v>
      </c>
      <c r="C29" s="62"/>
    </row>
    <row r="30" spans="1:3">
      <c r="A30" s="128"/>
      <c r="B30" s="128"/>
      <c r="C30" s="128"/>
    </row>
    <row r="31" spans="1:3" s="103" customFormat="1" ht="15.75">
      <c r="A31" s="119" t="s">
        <v>582</v>
      </c>
    </row>
    <row r="32" spans="1:3">
      <c r="A32" s="90" t="s">
        <v>583</v>
      </c>
      <c r="B32" s="90" t="s">
        <v>584</v>
      </c>
      <c r="C32" s="90" t="s">
        <v>409</v>
      </c>
    </row>
    <row r="33" spans="1:3">
      <c r="A33" s="51" t="s">
        <v>585</v>
      </c>
      <c r="B33" s="51">
        <v>100</v>
      </c>
      <c r="C33" s="51" t="s">
        <v>586</v>
      </c>
    </row>
    <row r="34" spans="1:3">
      <c r="A34" s="62" t="s">
        <v>587</v>
      </c>
      <c r="B34" s="62">
        <v>85</v>
      </c>
      <c r="C34" s="62" t="s">
        <v>588</v>
      </c>
    </row>
    <row r="35" spans="1:3">
      <c r="A35" s="51" t="s">
        <v>589</v>
      </c>
      <c r="B35" s="51">
        <v>70</v>
      </c>
      <c r="C35" s="51" t="s">
        <v>590</v>
      </c>
    </row>
    <row r="36" spans="1:3">
      <c r="A36" s="62" t="s">
        <v>580</v>
      </c>
      <c r="B36" s="62">
        <v>55</v>
      </c>
      <c r="C36" s="62" t="s">
        <v>591</v>
      </c>
    </row>
    <row r="37" spans="1:3">
      <c r="A37" s="51" t="s">
        <v>581</v>
      </c>
      <c r="B37" s="51">
        <v>40</v>
      </c>
      <c r="C37" s="51" t="s">
        <v>592</v>
      </c>
    </row>
    <row r="38" spans="1:3">
      <c r="A38" s="62" t="s">
        <v>593</v>
      </c>
      <c r="B38" s="62">
        <v>25</v>
      </c>
      <c r="C38" s="62" t="s">
        <v>594</v>
      </c>
    </row>
    <row r="39" spans="1:3">
      <c r="A39" s="51" t="s">
        <v>595</v>
      </c>
      <c r="B39" s="51">
        <v>15</v>
      </c>
      <c r="C39" s="51" t="s">
        <v>596</v>
      </c>
    </row>
    <row r="40" spans="1:3">
      <c r="A40" s="62" t="s">
        <v>597</v>
      </c>
      <c r="B40" s="62">
        <v>10</v>
      </c>
      <c r="C40" s="62" t="s">
        <v>598</v>
      </c>
    </row>
    <row r="43" spans="1:3" ht="15.75">
      <c r="A43" s="89" t="s">
        <v>599</v>
      </c>
    </row>
    <row r="44" spans="1:3">
      <c r="A44" s="91" t="s">
        <v>600</v>
      </c>
      <c r="B44" t="s">
        <v>601</v>
      </c>
    </row>
    <row r="45" spans="1:3">
      <c r="A45" s="91" t="s">
        <v>602</v>
      </c>
    </row>
    <row r="46" spans="1:3">
      <c r="A46" s="91" t="s">
        <v>603</v>
      </c>
      <c r="B46" t="s">
        <v>400</v>
      </c>
    </row>
    <row r="47" spans="1:3">
      <c r="A47" s="91" t="s">
        <v>604</v>
      </c>
    </row>
    <row r="49" spans="1:4">
      <c r="A49" s="92" t="s">
        <v>372</v>
      </c>
    </row>
    <row r="50" spans="1:4">
      <c r="A50" s="90" t="s">
        <v>189</v>
      </c>
      <c r="B50" s="90" t="s">
        <v>605</v>
      </c>
      <c r="C50" s="90" t="s">
        <v>200</v>
      </c>
      <c r="D50" s="90" t="s">
        <v>606</v>
      </c>
    </row>
    <row r="51" spans="1:4" ht="25.5">
      <c r="A51" s="51" t="s">
        <v>607</v>
      </c>
      <c r="B51" s="51" t="s">
        <v>608</v>
      </c>
      <c r="C51" s="51" t="s">
        <v>609</v>
      </c>
      <c r="D51" s="51" t="s">
        <v>610</v>
      </c>
    </row>
    <row r="52" spans="1:4">
      <c r="A52" s="62" t="s">
        <v>190</v>
      </c>
      <c r="B52" s="62" t="s">
        <v>611</v>
      </c>
      <c r="C52" s="62" t="s">
        <v>612</v>
      </c>
      <c r="D52" s="62" t="s">
        <v>613</v>
      </c>
    </row>
    <row r="53" spans="1:4" ht="25.5">
      <c r="A53" s="51" t="s">
        <v>614</v>
      </c>
      <c r="B53" s="51" t="s">
        <v>615</v>
      </c>
      <c r="C53" s="51" t="s">
        <v>616</v>
      </c>
      <c r="D53" s="51" t="s">
        <v>617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F8A0D-7F08-4727-806F-646F565A507E}">
  <dimension ref="A1:C30"/>
  <sheetViews>
    <sheetView workbookViewId="0">
      <selection activeCell="C31" sqref="C31"/>
    </sheetView>
  </sheetViews>
  <sheetFormatPr defaultRowHeight="15"/>
  <cols>
    <col min="1" max="1" width="32.28515625" customWidth="1"/>
    <col min="2" max="2" width="39.5703125" customWidth="1"/>
    <col min="3" max="3" width="92.5703125" customWidth="1"/>
    <col min="4" max="4" width="39.28515625" customWidth="1"/>
    <col min="5" max="5" width="38.140625" customWidth="1"/>
  </cols>
  <sheetData>
    <row r="1" spans="1:3" ht="18">
      <c r="A1" s="96" t="s">
        <v>618</v>
      </c>
    </row>
    <row r="2" spans="1:3">
      <c r="A2" s="46" t="s">
        <v>619</v>
      </c>
    </row>
    <row r="4" spans="1:3" ht="15.75">
      <c r="A4" s="97" t="s">
        <v>620</v>
      </c>
    </row>
    <row r="5" spans="1:3">
      <c r="A5" s="78" t="s">
        <v>621</v>
      </c>
    </row>
    <row r="7" spans="1:3">
      <c r="A7" s="98" t="s">
        <v>622</v>
      </c>
      <c r="B7" s="98" t="s">
        <v>623</v>
      </c>
      <c r="C7" s="98" t="s">
        <v>409</v>
      </c>
    </row>
    <row r="8" spans="1:3">
      <c r="A8" s="55" t="s">
        <v>576</v>
      </c>
      <c r="B8" s="55">
        <v>100</v>
      </c>
      <c r="C8" s="55" t="s">
        <v>624</v>
      </c>
    </row>
    <row r="9" spans="1:3">
      <c r="A9" s="62" t="s">
        <v>577</v>
      </c>
      <c r="B9" s="62">
        <v>95</v>
      </c>
      <c r="C9" s="62" t="s">
        <v>625</v>
      </c>
    </row>
    <row r="10" spans="1:3">
      <c r="A10" s="55" t="s">
        <v>578</v>
      </c>
      <c r="B10" s="55">
        <v>90</v>
      </c>
      <c r="C10" s="55" t="s">
        <v>626</v>
      </c>
    </row>
    <row r="11" spans="1:3">
      <c r="A11" s="62" t="s">
        <v>579</v>
      </c>
      <c r="B11" s="62">
        <v>80</v>
      </c>
      <c r="C11" s="62" t="s">
        <v>627</v>
      </c>
    </row>
    <row r="12" spans="1:3">
      <c r="A12" s="55" t="s">
        <v>580</v>
      </c>
      <c r="B12" s="55">
        <v>65</v>
      </c>
      <c r="C12" s="55" t="s">
        <v>628</v>
      </c>
    </row>
    <row r="13" spans="1:3">
      <c r="A13" s="62" t="s">
        <v>581</v>
      </c>
      <c r="B13" s="62">
        <v>45</v>
      </c>
      <c r="C13" s="62" t="s">
        <v>629</v>
      </c>
    </row>
    <row r="14" spans="1:3">
      <c r="A14" s="55" t="s">
        <v>593</v>
      </c>
      <c r="B14" s="55">
        <v>25</v>
      </c>
      <c r="C14" s="55" t="s">
        <v>630</v>
      </c>
    </row>
    <row r="15" spans="1:3">
      <c r="A15" s="62" t="s">
        <v>595</v>
      </c>
      <c r="B15" s="62">
        <v>10</v>
      </c>
      <c r="C15" s="62" t="s">
        <v>631</v>
      </c>
    </row>
    <row r="16" spans="1:3">
      <c r="A16" s="55" t="s">
        <v>597</v>
      </c>
      <c r="B16" s="55">
        <v>0</v>
      </c>
      <c r="C16" s="55" t="s">
        <v>632</v>
      </c>
    </row>
    <row r="19" spans="1:3" ht="15.75">
      <c r="A19" s="97" t="s">
        <v>633</v>
      </c>
    </row>
    <row r="20" spans="1:3">
      <c r="A20" s="98" t="s">
        <v>634</v>
      </c>
      <c r="B20" s="98" t="s">
        <v>200</v>
      </c>
      <c r="C20" s="98" t="s">
        <v>606</v>
      </c>
    </row>
    <row r="21" spans="1:3">
      <c r="A21" s="55" t="s">
        <v>635</v>
      </c>
      <c r="B21" s="55" t="s">
        <v>612</v>
      </c>
      <c r="C21" s="55" t="s">
        <v>636</v>
      </c>
    </row>
    <row r="22" spans="1:3" s="103" customFormat="1">
      <c r="A22" s="102" t="s">
        <v>637</v>
      </c>
      <c r="B22" s="102" t="s">
        <v>638</v>
      </c>
      <c r="C22" s="102" t="s">
        <v>639</v>
      </c>
    </row>
    <row r="23" spans="1:3">
      <c r="A23" s="55" t="s">
        <v>640</v>
      </c>
      <c r="B23" s="55">
        <f>100</f>
        <v>100</v>
      </c>
      <c r="C23" s="55" t="s">
        <v>641</v>
      </c>
    </row>
    <row r="24" spans="1:3">
      <c r="A24" s="62" t="s">
        <v>642</v>
      </c>
      <c r="B24" s="62">
        <v>0</v>
      </c>
      <c r="C24" s="62" t="s">
        <v>643</v>
      </c>
    </row>
    <row r="25" spans="1:3">
      <c r="A25" s="55" t="s">
        <v>644</v>
      </c>
      <c r="B25" s="55">
        <f>50</f>
        <v>50</v>
      </c>
      <c r="C25" s="55" t="s">
        <v>645</v>
      </c>
    </row>
    <row r="28" spans="1:3" ht="15.75">
      <c r="A28" s="97" t="s">
        <v>646</v>
      </c>
    </row>
    <row r="29" spans="1:3">
      <c r="A29" s="91" t="s">
        <v>647</v>
      </c>
    </row>
    <row r="30" spans="1:3">
      <c r="A30" s="91" t="s">
        <v>648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D4A08-4931-455C-933F-E666FE5E575E}">
  <dimension ref="A1:C36"/>
  <sheetViews>
    <sheetView workbookViewId="0">
      <selection activeCell="B22" sqref="B22"/>
    </sheetView>
  </sheetViews>
  <sheetFormatPr defaultRowHeight="15"/>
  <cols>
    <col min="1" max="1" width="41.140625" customWidth="1"/>
    <col min="2" max="2" width="56.28515625" customWidth="1"/>
    <col min="3" max="3" width="63.140625" customWidth="1"/>
  </cols>
  <sheetData>
    <row r="1" spans="1:3" ht="18">
      <c r="A1" s="93" t="s">
        <v>649</v>
      </c>
    </row>
    <row r="2" spans="1:3">
      <c r="A2" s="46" t="s">
        <v>650</v>
      </c>
    </row>
    <row r="4" spans="1:3" ht="15.75">
      <c r="A4" s="94" t="s">
        <v>651</v>
      </c>
    </row>
    <row r="5" spans="1:3">
      <c r="A5" s="95" t="s">
        <v>652</v>
      </c>
      <c r="B5" s="95" t="s">
        <v>57</v>
      </c>
      <c r="C5" s="95" t="s">
        <v>409</v>
      </c>
    </row>
    <row r="6" spans="1:3">
      <c r="A6" s="53" t="s">
        <v>653</v>
      </c>
      <c r="B6" s="53">
        <v>10</v>
      </c>
      <c r="C6" s="53" t="s">
        <v>654</v>
      </c>
    </row>
    <row r="7" spans="1:3">
      <c r="A7" s="62" t="s">
        <v>655</v>
      </c>
      <c r="B7" s="62">
        <v>20</v>
      </c>
      <c r="C7" s="62" t="s">
        <v>656</v>
      </c>
    </row>
    <row r="8" spans="1:3">
      <c r="A8" s="53" t="s">
        <v>657</v>
      </c>
      <c r="B8" s="53">
        <v>30</v>
      </c>
      <c r="C8" s="53" t="s">
        <v>658</v>
      </c>
    </row>
    <row r="9" spans="1:3">
      <c r="A9" s="62" t="s">
        <v>659</v>
      </c>
      <c r="B9" s="62">
        <v>40</v>
      </c>
      <c r="C9" s="62" t="s">
        <v>660</v>
      </c>
    </row>
    <row r="10" spans="1:3">
      <c r="A10" s="53" t="s">
        <v>661</v>
      </c>
      <c r="B10" s="53">
        <v>50</v>
      </c>
      <c r="C10" s="53" t="s">
        <v>662</v>
      </c>
    </row>
    <row r="11" spans="1:3">
      <c r="A11" s="62" t="s">
        <v>663</v>
      </c>
      <c r="B11" s="62">
        <v>60</v>
      </c>
      <c r="C11" s="62" t="s">
        <v>664</v>
      </c>
    </row>
    <row r="12" spans="1:3">
      <c r="A12" s="53" t="s">
        <v>665</v>
      </c>
      <c r="B12" s="53">
        <v>70</v>
      </c>
      <c r="C12" s="53" t="s">
        <v>666</v>
      </c>
    </row>
    <row r="13" spans="1:3">
      <c r="A13" s="62" t="s">
        <v>667</v>
      </c>
      <c r="B13" s="62">
        <v>80</v>
      </c>
      <c r="C13" s="62" t="s">
        <v>668</v>
      </c>
    </row>
    <row r="14" spans="1:3">
      <c r="A14" s="53" t="s">
        <v>669</v>
      </c>
      <c r="B14" s="53">
        <v>90</v>
      </c>
      <c r="C14" s="53" t="s">
        <v>670</v>
      </c>
    </row>
    <row r="15" spans="1:3">
      <c r="A15" s="62" t="s">
        <v>671</v>
      </c>
      <c r="B15" s="62">
        <v>95</v>
      </c>
      <c r="C15" s="62" t="s">
        <v>672</v>
      </c>
    </row>
    <row r="16" spans="1:3">
      <c r="A16" s="53" t="s">
        <v>673</v>
      </c>
      <c r="B16" s="53">
        <v>100</v>
      </c>
      <c r="C16" s="53" t="s">
        <v>674</v>
      </c>
    </row>
    <row r="19" spans="1:3" ht="15.75">
      <c r="A19" s="94" t="s">
        <v>675</v>
      </c>
    </row>
    <row r="20" spans="1:3">
      <c r="A20" s="95" t="s">
        <v>676</v>
      </c>
      <c r="B20" s="95" t="s">
        <v>677</v>
      </c>
      <c r="C20" s="95" t="s">
        <v>409</v>
      </c>
    </row>
    <row r="21" spans="1:3">
      <c r="A21" s="53">
        <v>0</v>
      </c>
      <c r="B21" s="53">
        <v>0</v>
      </c>
      <c r="C21" s="53" t="s">
        <v>678</v>
      </c>
    </row>
    <row r="22" spans="1:3">
      <c r="A22" s="62">
        <v>1</v>
      </c>
      <c r="B22" s="62">
        <v>15</v>
      </c>
      <c r="C22" s="62" t="s">
        <v>679</v>
      </c>
    </row>
    <row r="23" spans="1:3">
      <c r="A23" s="53">
        <v>2</v>
      </c>
      <c r="B23" s="53">
        <v>30</v>
      </c>
      <c r="C23" s="53" t="s">
        <v>680</v>
      </c>
    </row>
    <row r="24" spans="1:3">
      <c r="A24" s="62">
        <v>3</v>
      </c>
      <c r="B24" s="62">
        <v>45</v>
      </c>
      <c r="C24" s="62" t="s">
        <v>681</v>
      </c>
    </row>
    <row r="25" spans="1:3">
      <c r="A25" s="53">
        <v>4</v>
      </c>
      <c r="B25" s="53">
        <v>55</v>
      </c>
      <c r="C25" s="53" t="s">
        <v>682</v>
      </c>
    </row>
    <row r="26" spans="1:3">
      <c r="A26" s="62">
        <v>5</v>
      </c>
      <c r="B26" s="62">
        <v>65</v>
      </c>
      <c r="C26" s="62" t="s">
        <v>683</v>
      </c>
    </row>
    <row r="27" spans="1:3">
      <c r="A27" s="53">
        <v>6</v>
      </c>
      <c r="B27" s="53">
        <v>75</v>
      </c>
      <c r="C27" s="53" t="s">
        <v>684</v>
      </c>
    </row>
    <row r="28" spans="1:3">
      <c r="A28" s="62">
        <v>7</v>
      </c>
      <c r="B28" s="62">
        <v>82</v>
      </c>
      <c r="C28" s="62" t="s">
        <v>685</v>
      </c>
    </row>
    <row r="29" spans="1:3">
      <c r="A29" s="53">
        <v>8</v>
      </c>
      <c r="B29" s="53">
        <v>90</v>
      </c>
      <c r="C29" s="53" t="s">
        <v>686</v>
      </c>
    </row>
    <row r="30" spans="1:3">
      <c r="A30" s="62">
        <v>9</v>
      </c>
      <c r="B30" s="62">
        <v>95</v>
      </c>
      <c r="C30" s="62" t="s">
        <v>687</v>
      </c>
    </row>
    <row r="31" spans="1:3">
      <c r="A31" s="53" t="s">
        <v>688</v>
      </c>
      <c r="B31" s="53">
        <v>100</v>
      </c>
      <c r="C31" s="53" t="s">
        <v>689</v>
      </c>
    </row>
    <row r="34" spans="1:1" ht="15.75">
      <c r="A34" s="94" t="s">
        <v>690</v>
      </c>
    </row>
    <row r="35" spans="1:1">
      <c r="A35" s="91" t="s">
        <v>691</v>
      </c>
    </row>
    <row r="36" spans="1:1">
      <c r="A36" s="91" t="s">
        <v>692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FB5C-16DF-4C7B-BFDA-A5DA4A78CF81}">
  <dimension ref="A1:D42"/>
  <sheetViews>
    <sheetView workbookViewId="0">
      <selection activeCell="C17" sqref="C17"/>
    </sheetView>
  </sheetViews>
  <sheetFormatPr defaultRowHeight="15"/>
  <cols>
    <col min="1" max="1" width="33.7109375" customWidth="1"/>
    <col min="2" max="2" width="38" customWidth="1"/>
    <col min="3" max="3" width="45" customWidth="1"/>
    <col min="4" max="4" width="65.42578125" customWidth="1"/>
  </cols>
  <sheetData>
    <row r="1" spans="1:4" ht="18">
      <c r="A1" s="99" t="s">
        <v>693</v>
      </c>
    </row>
    <row r="2" spans="1:4">
      <c r="A2" s="46" t="s">
        <v>694</v>
      </c>
    </row>
    <row r="4" spans="1:4" ht="15.75">
      <c r="A4" s="100" t="s">
        <v>695</v>
      </c>
    </row>
    <row r="5" spans="1:4">
      <c r="A5" s="101" t="s">
        <v>696</v>
      </c>
      <c r="B5" s="101" t="s">
        <v>697</v>
      </c>
      <c r="C5" s="101" t="s">
        <v>698</v>
      </c>
      <c r="D5" s="101" t="s">
        <v>409</v>
      </c>
    </row>
    <row r="6" spans="1:4">
      <c r="A6" s="49" t="s">
        <v>699</v>
      </c>
      <c r="B6" s="49">
        <v>100</v>
      </c>
      <c r="C6" s="49" t="s">
        <v>195</v>
      </c>
      <c r="D6" s="49" t="s">
        <v>700</v>
      </c>
    </row>
    <row r="7" spans="1:4">
      <c r="A7" s="62" t="s">
        <v>701</v>
      </c>
      <c r="B7" s="62">
        <v>80</v>
      </c>
      <c r="C7" s="62" t="s">
        <v>702</v>
      </c>
      <c r="D7" s="62" t="s">
        <v>703</v>
      </c>
    </row>
    <row r="8" spans="1:4">
      <c r="A8" s="49" t="s">
        <v>704</v>
      </c>
      <c r="B8" s="49">
        <v>70</v>
      </c>
      <c r="C8" s="49" t="s">
        <v>705</v>
      </c>
      <c r="D8" s="49" t="s">
        <v>706</v>
      </c>
    </row>
    <row r="9" spans="1:4">
      <c r="A9" s="62" t="s">
        <v>707</v>
      </c>
      <c r="B9" s="62">
        <v>60</v>
      </c>
      <c r="C9" s="62" t="s">
        <v>708</v>
      </c>
      <c r="D9" s="62" t="s">
        <v>709</v>
      </c>
    </row>
    <row r="10" spans="1:4">
      <c r="A10" s="49" t="s">
        <v>710</v>
      </c>
      <c r="B10" s="49">
        <v>45</v>
      </c>
      <c r="C10" s="49" t="s">
        <v>711</v>
      </c>
      <c r="D10" s="49" t="s">
        <v>712</v>
      </c>
    </row>
    <row r="11" spans="1:4" s="103" customFormat="1">
      <c r="A11" s="102" t="s">
        <v>713</v>
      </c>
      <c r="B11" s="102">
        <v>30</v>
      </c>
      <c r="C11" s="102" t="s">
        <v>714</v>
      </c>
      <c r="D11" s="102" t="s">
        <v>715</v>
      </c>
    </row>
    <row r="12" spans="1:4" s="103" customFormat="1">
      <c r="A12" s="102" t="s">
        <v>716</v>
      </c>
      <c r="B12" s="102">
        <v>15</v>
      </c>
      <c r="C12" s="102" t="s">
        <v>717</v>
      </c>
      <c r="D12" s="102" t="s">
        <v>718</v>
      </c>
    </row>
    <row r="13" spans="1:4" s="103" customFormat="1">
      <c r="A13" s="102" t="s">
        <v>719</v>
      </c>
      <c r="B13" s="102">
        <v>50</v>
      </c>
      <c r="C13" s="102" t="s">
        <v>720</v>
      </c>
      <c r="D13" s="102" t="s">
        <v>721</v>
      </c>
    </row>
    <row r="16" spans="1:4" ht="15.75">
      <c r="A16" s="100" t="s">
        <v>722</v>
      </c>
    </row>
    <row r="17" spans="1:4">
      <c r="A17" s="78" t="s">
        <v>723</v>
      </c>
    </row>
    <row r="18" spans="1:4">
      <c r="A18" s="101" t="s">
        <v>35</v>
      </c>
      <c r="B18" s="101" t="s">
        <v>724</v>
      </c>
      <c r="C18" s="101" t="s">
        <v>725</v>
      </c>
      <c r="D18" s="101" t="s">
        <v>726</v>
      </c>
    </row>
    <row r="19" spans="1:4">
      <c r="A19" s="49">
        <v>1</v>
      </c>
      <c r="B19" s="49" t="s">
        <v>612</v>
      </c>
      <c r="C19" s="49" t="s">
        <v>727</v>
      </c>
      <c r="D19" s="49" t="s">
        <v>44</v>
      </c>
    </row>
    <row r="20" spans="1:4">
      <c r="A20" s="62">
        <v>2</v>
      </c>
      <c r="B20" s="62" t="s">
        <v>728</v>
      </c>
      <c r="C20" s="62" t="s">
        <v>729</v>
      </c>
      <c r="D20" s="62" t="s">
        <v>134</v>
      </c>
    </row>
    <row r="21" spans="1:4">
      <c r="A21" s="49">
        <v>3</v>
      </c>
      <c r="B21" s="49" t="s">
        <v>730</v>
      </c>
      <c r="C21" s="49" t="s">
        <v>731</v>
      </c>
      <c r="D21" s="49" t="s">
        <v>732</v>
      </c>
    </row>
    <row r="22" spans="1:4">
      <c r="A22" s="62">
        <v>4</v>
      </c>
      <c r="B22" s="62" t="s">
        <v>733</v>
      </c>
      <c r="C22" s="62" t="s">
        <v>734</v>
      </c>
      <c r="D22" s="62" t="s">
        <v>735</v>
      </c>
    </row>
    <row r="23" spans="1:4">
      <c r="A23" s="49">
        <v>5</v>
      </c>
      <c r="B23" s="49" t="s">
        <v>736</v>
      </c>
      <c r="C23" s="49" t="s">
        <v>737</v>
      </c>
      <c r="D23" s="49" t="s">
        <v>738</v>
      </c>
    </row>
    <row r="26" spans="1:4" ht="15.75">
      <c r="A26" s="100" t="s">
        <v>739</v>
      </c>
    </row>
    <row r="27" spans="1:4">
      <c r="A27" s="91" t="s">
        <v>740</v>
      </c>
    </row>
    <row r="28" spans="1:4">
      <c r="A28" s="91" t="s">
        <v>741</v>
      </c>
    </row>
    <row r="29" spans="1:4">
      <c r="A29" s="91" t="s">
        <v>742</v>
      </c>
    </row>
    <row r="31" spans="1:4" ht="15.75">
      <c r="A31" s="100" t="s">
        <v>743</v>
      </c>
    </row>
    <row r="32" spans="1:4">
      <c r="A32" s="101" t="s">
        <v>744</v>
      </c>
      <c r="B32" s="101" t="s">
        <v>331</v>
      </c>
      <c r="C32" s="101" t="s">
        <v>745</v>
      </c>
      <c r="D32" s="101" t="s">
        <v>746</v>
      </c>
    </row>
    <row r="33" spans="1:4" ht="25.5">
      <c r="A33" s="49" t="s">
        <v>747</v>
      </c>
      <c r="B33" s="49" t="s">
        <v>748</v>
      </c>
      <c r="C33" s="49" t="s">
        <v>400</v>
      </c>
      <c r="D33" s="49" t="s">
        <v>749</v>
      </c>
    </row>
    <row r="34" spans="1:4" ht="25.5">
      <c r="A34" s="62" t="s">
        <v>750</v>
      </c>
      <c r="B34" s="62" t="s">
        <v>751</v>
      </c>
      <c r="C34" s="62" t="s">
        <v>752</v>
      </c>
      <c r="D34" s="62" t="s">
        <v>753</v>
      </c>
    </row>
    <row r="35" spans="1:4" ht="25.5">
      <c r="A35" s="49" t="s">
        <v>754</v>
      </c>
      <c r="B35" s="49" t="s">
        <v>755</v>
      </c>
      <c r="C35" s="49" t="s">
        <v>752</v>
      </c>
      <c r="D35" s="49" t="s">
        <v>756</v>
      </c>
    </row>
    <row r="36" spans="1:4">
      <c r="A36" s="62" t="s">
        <v>757</v>
      </c>
      <c r="B36" s="62" t="s">
        <v>758</v>
      </c>
      <c r="C36" s="62" t="s">
        <v>752</v>
      </c>
      <c r="D36" s="62" t="s">
        <v>759</v>
      </c>
    </row>
    <row r="38" spans="1:4" ht="15.75">
      <c r="A38" s="100" t="s">
        <v>760</v>
      </c>
    </row>
    <row r="39" spans="1:4">
      <c r="A39" s="42" t="s">
        <v>761</v>
      </c>
    </row>
    <row r="40" spans="1:4">
      <c r="A40" s="42" t="s">
        <v>762</v>
      </c>
    </row>
    <row r="41" spans="1:4">
      <c r="A41" s="42" t="s">
        <v>763</v>
      </c>
    </row>
    <row r="42" spans="1:4">
      <c r="A42" s="78" t="s">
        <v>764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AD903-91EC-4694-BD81-6EDA131948AA}">
  <dimension ref="A1:E13"/>
  <sheetViews>
    <sheetView workbookViewId="0">
      <selection activeCell="C6" sqref="C6"/>
    </sheetView>
  </sheetViews>
  <sheetFormatPr defaultRowHeight="15"/>
  <cols>
    <col min="1" max="2" width="55.85546875" customWidth="1"/>
    <col min="3" max="3" width="40.28515625" customWidth="1"/>
    <col min="4" max="4" width="37" customWidth="1"/>
    <col min="5" max="5" width="31.5703125" customWidth="1"/>
  </cols>
  <sheetData>
    <row r="1" spans="1:5" ht="18">
      <c r="A1" s="109" t="s">
        <v>765</v>
      </c>
    </row>
    <row r="2" spans="1:5">
      <c r="A2" s="46" t="s">
        <v>766</v>
      </c>
    </row>
    <row r="4" spans="1:5">
      <c r="A4" s="110" t="s">
        <v>744</v>
      </c>
      <c r="B4" s="110" t="s">
        <v>209</v>
      </c>
      <c r="C4" s="110" t="s">
        <v>767</v>
      </c>
      <c r="D4" s="110" t="s">
        <v>606</v>
      </c>
      <c r="E4" s="110" t="s">
        <v>768</v>
      </c>
    </row>
    <row r="5" spans="1:5" ht="36.75" customHeight="1">
      <c r="A5" s="49">
        <v>1</v>
      </c>
      <c r="B5" s="49" t="s">
        <v>769</v>
      </c>
      <c r="C5" s="49" t="s">
        <v>770</v>
      </c>
      <c r="D5" s="49" t="s">
        <v>771</v>
      </c>
      <c r="E5" s="49" t="s">
        <v>772</v>
      </c>
    </row>
    <row r="6" spans="1:5" ht="30" customHeight="1">
      <c r="A6" s="62">
        <v>2</v>
      </c>
      <c r="B6" s="62" t="s">
        <v>773</v>
      </c>
      <c r="C6" s="62" t="s">
        <v>774</v>
      </c>
      <c r="D6" s="62" t="s">
        <v>775</v>
      </c>
      <c r="E6" s="62" t="s">
        <v>776</v>
      </c>
    </row>
    <row r="7" spans="1:5" ht="25.5" customHeight="1">
      <c r="A7" s="49">
        <v>3</v>
      </c>
      <c r="B7" s="49" t="s">
        <v>777</v>
      </c>
      <c r="C7" s="49" t="s">
        <v>778</v>
      </c>
      <c r="D7" s="49" t="s">
        <v>779</v>
      </c>
      <c r="E7" s="49" t="s">
        <v>780</v>
      </c>
    </row>
    <row r="8" spans="1:5" ht="29.25" customHeight="1">
      <c r="A8" s="62">
        <v>4</v>
      </c>
      <c r="B8" s="62" t="s">
        <v>781</v>
      </c>
      <c r="C8" s="62" t="s">
        <v>782</v>
      </c>
      <c r="D8" s="62" t="s">
        <v>783</v>
      </c>
      <c r="E8" s="62" t="s">
        <v>784</v>
      </c>
    </row>
    <row r="11" spans="1:5">
      <c r="A11" s="41" t="s">
        <v>785</v>
      </c>
    </row>
    <row r="12" spans="1:5">
      <c r="A12" s="42" t="s">
        <v>786</v>
      </c>
    </row>
    <row r="13" spans="1:5">
      <c r="A13" s="42" t="s">
        <v>787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3B93B-D6CD-4E66-9355-909637C0368D}">
  <dimension ref="A1:H32"/>
  <sheetViews>
    <sheetView workbookViewId="0">
      <selection activeCell="D18" sqref="D18"/>
    </sheetView>
  </sheetViews>
  <sheetFormatPr defaultRowHeight="15"/>
  <cols>
    <col min="1" max="1" width="40.28515625" customWidth="1"/>
    <col min="2" max="2" width="36.7109375" customWidth="1"/>
    <col min="3" max="3" width="67.5703125" customWidth="1"/>
    <col min="4" max="4" width="40.42578125" customWidth="1"/>
    <col min="5" max="5" width="37.85546875" customWidth="1"/>
  </cols>
  <sheetData>
    <row r="1" spans="1:5" ht="20.25">
      <c r="A1" s="45" t="s">
        <v>788</v>
      </c>
    </row>
    <row r="2" spans="1:5" ht="16.5">
      <c r="A2" s="40" t="s">
        <v>789</v>
      </c>
    </row>
    <row r="4" spans="1:5">
      <c r="A4" s="111" t="s">
        <v>790</v>
      </c>
    </row>
    <row r="6" spans="1:5">
      <c r="A6" s="112" t="s">
        <v>214</v>
      </c>
      <c r="B6" s="112" t="s">
        <v>791</v>
      </c>
      <c r="C6" s="112" t="s">
        <v>792</v>
      </c>
      <c r="D6" s="112" t="s">
        <v>793</v>
      </c>
      <c r="E6" s="112" t="s">
        <v>794</v>
      </c>
    </row>
    <row r="7" spans="1:5" ht="25.5">
      <c r="A7" s="48" t="s">
        <v>104</v>
      </c>
      <c r="B7" s="49" t="s">
        <v>795</v>
      </c>
      <c r="C7" s="49" t="s">
        <v>796</v>
      </c>
      <c r="D7" s="49" t="s">
        <v>797</v>
      </c>
      <c r="E7" s="49" t="s">
        <v>798</v>
      </c>
    </row>
    <row r="8" spans="1:5" ht="42" customHeight="1">
      <c r="A8" s="50" t="s">
        <v>101</v>
      </c>
      <c r="B8" s="51" t="s">
        <v>799</v>
      </c>
      <c r="C8" s="51" t="s">
        <v>800</v>
      </c>
      <c r="D8" s="51" t="s">
        <v>801</v>
      </c>
      <c r="E8" s="51" t="s">
        <v>802</v>
      </c>
    </row>
    <row r="9" spans="1:5" ht="29.25" customHeight="1">
      <c r="A9" s="52" t="s">
        <v>102</v>
      </c>
      <c r="B9" s="53" t="s">
        <v>803</v>
      </c>
      <c r="C9" s="53" t="s">
        <v>804</v>
      </c>
      <c r="D9" s="53" t="s">
        <v>805</v>
      </c>
      <c r="E9" s="53" t="s">
        <v>806</v>
      </c>
    </row>
    <row r="10" spans="1:5" ht="25.5">
      <c r="A10" s="54" t="s">
        <v>103</v>
      </c>
      <c r="B10" s="55" t="s">
        <v>350</v>
      </c>
      <c r="C10" s="55" t="s">
        <v>807</v>
      </c>
      <c r="D10" s="55" t="s">
        <v>797</v>
      </c>
      <c r="E10" s="55" t="s">
        <v>808</v>
      </c>
    </row>
    <row r="13" spans="1:5" ht="15.75">
      <c r="A13" s="56" t="s">
        <v>809</v>
      </c>
    </row>
    <row r="14" spans="1:5">
      <c r="A14" s="112" t="s">
        <v>810</v>
      </c>
      <c r="B14" s="112" t="s">
        <v>811</v>
      </c>
      <c r="C14" s="112" t="s">
        <v>812</v>
      </c>
    </row>
    <row r="15" spans="1:5" ht="25.5">
      <c r="A15" s="59" t="s">
        <v>162</v>
      </c>
      <c r="B15" s="60" t="s">
        <v>813</v>
      </c>
      <c r="C15" s="60" t="s">
        <v>814</v>
      </c>
    </row>
    <row r="16" spans="1:5" ht="25.5">
      <c r="A16" s="61" t="s">
        <v>181</v>
      </c>
      <c r="B16" s="62" t="s">
        <v>815</v>
      </c>
      <c r="C16" s="62" t="s">
        <v>816</v>
      </c>
    </row>
    <row r="17" spans="1:8" ht="25.5">
      <c r="A17" s="59" t="s">
        <v>182</v>
      </c>
      <c r="B17" s="60" t="s">
        <v>817</v>
      </c>
      <c r="C17" s="60" t="s">
        <v>818</v>
      </c>
    </row>
    <row r="18" spans="1:8" ht="25.5">
      <c r="A18" s="61" t="s">
        <v>183</v>
      </c>
      <c r="B18" s="62" t="s">
        <v>819</v>
      </c>
      <c r="C18" s="62" t="s">
        <v>820</v>
      </c>
    </row>
    <row r="21" spans="1:8" ht="15.75">
      <c r="A21" s="56" t="s">
        <v>821</v>
      </c>
    </row>
    <row r="22" spans="1:8">
      <c r="A22" s="42" t="s">
        <v>822</v>
      </c>
    </row>
    <row r="24" spans="1:8" ht="30">
      <c r="A24" s="112" t="s">
        <v>33</v>
      </c>
      <c r="B24" s="112" t="s">
        <v>823</v>
      </c>
      <c r="C24" s="112" t="s">
        <v>101</v>
      </c>
      <c r="D24" s="112" t="s">
        <v>102</v>
      </c>
      <c r="E24" s="112" t="s">
        <v>103</v>
      </c>
      <c r="F24" s="112" t="s">
        <v>73</v>
      </c>
      <c r="G24" s="112" t="s">
        <v>74</v>
      </c>
      <c r="H24" s="112" t="s">
        <v>824</v>
      </c>
    </row>
    <row r="25" spans="1:8">
      <c r="A25" s="60" t="s">
        <v>554</v>
      </c>
      <c r="B25" s="60" t="s">
        <v>825</v>
      </c>
      <c r="C25" s="60" t="s">
        <v>826</v>
      </c>
      <c r="D25" s="60" t="s">
        <v>827</v>
      </c>
      <c r="E25" s="60" t="s">
        <v>828</v>
      </c>
      <c r="F25" s="60">
        <v>58.9</v>
      </c>
      <c r="G25" s="60" t="s">
        <v>79</v>
      </c>
      <c r="H25" s="113" t="s">
        <v>829</v>
      </c>
    </row>
    <row r="26" spans="1:8">
      <c r="A26" s="62" t="s">
        <v>556</v>
      </c>
      <c r="B26" s="62" t="s">
        <v>825</v>
      </c>
      <c r="C26" s="62" t="s">
        <v>830</v>
      </c>
      <c r="D26" s="62" t="s">
        <v>831</v>
      </c>
      <c r="E26" s="62" t="s">
        <v>832</v>
      </c>
      <c r="F26" s="62">
        <v>41.9</v>
      </c>
      <c r="G26" s="62" t="s">
        <v>84</v>
      </c>
      <c r="H26" s="114" t="s">
        <v>833</v>
      </c>
    </row>
    <row r="27" spans="1:8">
      <c r="A27" s="60" t="s">
        <v>558</v>
      </c>
      <c r="B27" s="60" t="s">
        <v>825</v>
      </c>
      <c r="C27" s="60" t="s">
        <v>834</v>
      </c>
      <c r="D27" s="60" t="s">
        <v>835</v>
      </c>
      <c r="E27" s="60" t="s">
        <v>836</v>
      </c>
      <c r="F27" s="60">
        <v>23.6</v>
      </c>
      <c r="G27" s="60" t="s">
        <v>89</v>
      </c>
      <c r="H27" s="113" t="s">
        <v>837</v>
      </c>
    </row>
    <row r="29" spans="1:8">
      <c r="A29" s="78" t="s">
        <v>838</v>
      </c>
    </row>
    <row r="31" spans="1:8" ht="15.75">
      <c r="A31" s="56" t="s">
        <v>839</v>
      </c>
    </row>
    <row r="32" spans="1:8">
      <c r="A32" s="42" t="s">
        <v>840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CFA61-C2BC-4F07-B3D3-E5BDBDB91696}">
  <dimension ref="A1:D6"/>
  <sheetViews>
    <sheetView workbookViewId="0">
      <selection activeCell="D5" sqref="D5"/>
    </sheetView>
  </sheetViews>
  <sheetFormatPr defaultRowHeight="15"/>
  <cols>
    <col min="1" max="1" width="9.140625" style="1"/>
    <col min="2" max="2" width="28.85546875" style="1" customWidth="1"/>
    <col min="3" max="3" width="33.7109375" style="1" customWidth="1"/>
    <col min="4" max="4" width="44.5703125" customWidth="1"/>
  </cols>
  <sheetData>
    <row r="1" spans="1:4">
      <c r="A1" s="3" t="s">
        <v>841</v>
      </c>
      <c r="B1" s="3" t="s">
        <v>842</v>
      </c>
      <c r="C1" s="3" t="s">
        <v>843</v>
      </c>
      <c r="D1" s="3" t="s">
        <v>844</v>
      </c>
    </row>
    <row r="2" spans="1:4" ht="60">
      <c r="A2" s="3" t="s">
        <v>845</v>
      </c>
      <c r="B2" s="4" t="s">
        <v>846</v>
      </c>
      <c r="C2" s="3" t="s">
        <v>847</v>
      </c>
      <c r="D2" s="4" t="s">
        <v>848</v>
      </c>
    </row>
    <row r="3" spans="1:4" ht="60">
      <c r="A3" s="3" t="s">
        <v>849</v>
      </c>
      <c r="B3" s="5" t="s">
        <v>850</v>
      </c>
      <c r="C3" s="3" t="s">
        <v>851</v>
      </c>
      <c r="D3" s="4" t="s">
        <v>852</v>
      </c>
    </row>
    <row r="4" spans="1:4" ht="60">
      <c r="A4" s="3" t="s">
        <v>853</v>
      </c>
      <c r="B4" s="5" t="s">
        <v>854</v>
      </c>
      <c r="C4" s="3" t="s">
        <v>855</v>
      </c>
      <c r="D4" s="4" t="s">
        <v>856</v>
      </c>
    </row>
    <row r="5" spans="1:4">
      <c r="A5" s="3" t="s">
        <v>857</v>
      </c>
      <c r="B5" s="5" t="s">
        <v>858</v>
      </c>
      <c r="C5" s="4" t="s">
        <v>859</v>
      </c>
      <c r="D5" s="4"/>
    </row>
    <row r="6" spans="1:4">
      <c r="A6" s="3" t="s">
        <v>860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CCB19-7890-4193-BB8C-D01100FBB32D}">
  <dimension ref="A1:D6"/>
  <sheetViews>
    <sheetView workbookViewId="0">
      <selection activeCell="D2" sqref="D2"/>
    </sheetView>
  </sheetViews>
  <sheetFormatPr defaultRowHeight="15"/>
  <cols>
    <col min="1" max="1" width="20" customWidth="1"/>
    <col min="2" max="2" width="35.5703125" style="1" customWidth="1"/>
    <col min="3" max="3" width="40.7109375" style="1" customWidth="1"/>
    <col min="4" max="4" width="37.7109375" style="1" customWidth="1"/>
  </cols>
  <sheetData>
    <row r="1" spans="1:4" ht="30">
      <c r="A1" s="3" t="s">
        <v>861</v>
      </c>
      <c r="B1" s="3" t="s">
        <v>862</v>
      </c>
      <c r="C1" s="3" t="s">
        <v>863</v>
      </c>
      <c r="D1" s="3" t="s">
        <v>864</v>
      </c>
    </row>
    <row r="2" spans="1:4" ht="75">
      <c r="A2" s="3" t="s">
        <v>865</v>
      </c>
      <c r="B2" s="4" t="s">
        <v>866</v>
      </c>
      <c r="C2" s="3" t="s">
        <v>867</v>
      </c>
      <c r="D2" s="4" t="s">
        <v>868</v>
      </c>
    </row>
    <row r="3" spans="1:4" ht="30">
      <c r="A3" s="3" t="s">
        <v>869</v>
      </c>
      <c r="B3" s="4" t="s">
        <v>870</v>
      </c>
      <c r="C3" s="4" t="s">
        <v>871</v>
      </c>
      <c r="D3" s="4" t="s">
        <v>872</v>
      </c>
    </row>
    <row r="4" spans="1:4" ht="30">
      <c r="A4" s="3" t="s">
        <v>873</v>
      </c>
      <c r="B4" s="4" t="s">
        <v>874</v>
      </c>
      <c r="C4" s="4" t="s">
        <v>875</v>
      </c>
      <c r="D4" s="4" t="s">
        <v>876</v>
      </c>
    </row>
    <row r="5" spans="1:4" ht="30">
      <c r="A5" s="3" t="s">
        <v>877</v>
      </c>
      <c r="B5" s="4" t="s">
        <v>878</v>
      </c>
      <c r="C5" s="4" t="s">
        <v>859</v>
      </c>
      <c r="D5" s="4" t="s">
        <v>879</v>
      </c>
    </row>
    <row r="6" spans="1:4" ht="45">
      <c r="A6" s="3" t="s">
        <v>880</v>
      </c>
      <c r="B6" s="4" t="s">
        <v>881</v>
      </c>
      <c r="C6" s="4" t="s">
        <v>882</v>
      </c>
      <c r="D6" s="4" t="s">
        <v>883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00E0-6623-481E-9584-BD6B20548BDE}">
  <dimension ref="A1:R15"/>
  <sheetViews>
    <sheetView workbookViewId="0">
      <selection activeCell="C3" sqref="C3"/>
    </sheetView>
  </sheetViews>
  <sheetFormatPr defaultRowHeight="15"/>
  <cols>
    <col min="1" max="1" width="21.85546875" customWidth="1"/>
    <col min="2" max="3" width="21.7109375" customWidth="1"/>
    <col min="4" max="4" width="20.140625" customWidth="1"/>
    <col min="5" max="5" width="20.5703125" customWidth="1"/>
    <col min="7" max="7" width="9.28515625" bestFit="1" customWidth="1"/>
    <col min="8" max="8" width="15" customWidth="1"/>
    <col min="9" max="9" width="16.85546875" bestFit="1" customWidth="1"/>
    <col min="10" max="10" width="13.42578125" bestFit="1" customWidth="1"/>
  </cols>
  <sheetData>
    <row r="1" spans="1:18">
      <c r="A1" s="391" t="s">
        <v>221</v>
      </c>
      <c r="B1" s="391"/>
      <c r="C1" s="391"/>
      <c r="D1" s="391"/>
      <c r="G1" s="391" t="s">
        <v>884</v>
      </c>
      <c r="H1" s="391"/>
      <c r="I1" s="391"/>
      <c r="P1" s="392" t="s">
        <v>885</v>
      </c>
      <c r="Q1" s="392"/>
    </row>
    <row r="2" spans="1:18">
      <c r="A2" s="37" t="s">
        <v>469</v>
      </c>
      <c r="B2" s="37" t="s">
        <v>886</v>
      </c>
      <c r="C2" s="37" t="s">
        <v>887</v>
      </c>
      <c r="D2" s="37" t="s">
        <v>888</v>
      </c>
      <c r="G2" s="37" t="s">
        <v>469</v>
      </c>
      <c r="H2" s="37" t="s">
        <v>886</v>
      </c>
      <c r="I2" s="37" t="s">
        <v>888</v>
      </c>
      <c r="J2" s="38" t="s">
        <v>249</v>
      </c>
      <c r="P2" t="s">
        <v>889</v>
      </c>
      <c r="Q2" t="s">
        <v>890</v>
      </c>
      <c r="R2" t="s">
        <v>891</v>
      </c>
    </row>
    <row r="3" spans="1:18" ht="45">
      <c r="A3" t="s">
        <v>41</v>
      </c>
      <c r="B3" s="36">
        <v>1</v>
      </c>
      <c r="C3" s="36"/>
      <c r="D3" s="36">
        <v>20</v>
      </c>
      <c r="E3" s="1" t="s">
        <v>892</v>
      </c>
      <c r="F3" t="s">
        <v>893</v>
      </c>
      <c r="G3" t="s">
        <v>41</v>
      </c>
      <c r="H3">
        <v>100</v>
      </c>
      <c r="I3">
        <v>90</v>
      </c>
      <c r="J3">
        <f>(B3*H3)+(D3*I3)</f>
        <v>1900</v>
      </c>
      <c r="K3" s="35" t="s">
        <v>894</v>
      </c>
      <c r="P3">
        <v>0.2</v>
      </c>
      <c r="Q3">
        <v>0.6</v>
      </c>
      <c r="R3">
        <v>0.2</v>
      </c>
    </row>
    <row r="4" spans="1:18">
      <c r="A4" t="s">
        <v>45</v>
      </c>
      <c r="B4" s="36">
        <v>3</v>
      </c>
      <c r="C4" s="36"/>
      <c r="D4" s="36">
        <v>60</v>
      </c>
      <c r="G4" t="s">
        <v>45</v>
      </c>
      <c r="H4">
        <v>85</v>
      </c>
      <c r="I4">
        <v>75</v>
      </c>
      <c r="J4">
        <f>(B4*H4)+(D4*I4)</f>
        <v>4755</v>
      </c>
    </row>
    <row r="5" spans="1:18">
      <c r="A5" t="s">
        <v>49</v>
      </c>
      <c r="B5" s="36">
        <v>4</v>
      </c>
      <c r="C5" s="36"/>
      <c r="D5" s="36">
        <v>35</v>
      </c>
      <c r="G5" t="s">
        <v>49</v>
      </c>
      <c r="H5">
        <v>75</v>
      </c>
      <c r="I5">
        <v>75</v>
      </c>
      <c r="J5">
        <f>(B5*H5)+(D5*I5)</f>
        <v>2925</v>
      </c>
    </row>
    <row r="13" spans="1:18">
      <c r="J13" s="35" t="s">
        <v>895</v>
      </c>
    </row>
    <row r="15" spans="1:18">
      <c r="J15" t="s">
        <v>896</v>
      </c>
    </row>
  </sheetData>
  <mergeCells count="3">
    <mergeCell ref="A1:D1"/>
    <mergeCell ref="G1:I1"/>
    <mergeCell ref="P1:Q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E1F8-8F06-44EB-A057-55ACE52F2B88}">
  <dimension ref="A1:D8"/>
  <sheetViews>
    <sheetView workbookViewId="0">
      <selection activeCell="A3" sqref="A3"/>
    </sheetView>
  </sheetViews>
  <sheetFormatPr defaultRowHeight="15"/>
  <cols>
    <col min="1" max="1" width="48.28515625" customWidth="1"/>
    <col min="2" max="2" width="29.140625" customWidth="1"/>
    <col min="3" max="3" width="30.85546875" customWidth="1"/>
    <col min="4" max="4" width="32.85546875" customWidth="1"/>
  </cols>
  <sheetData>
    <row r="1" spans="1:4">
      <c r="A1" s="3" t="s">
        <v>897</v>
      </c>
      <c r="B1" s="3" t="s">
        <v>898</v>
      </c>
      <c r="C1" s="3" t="s">
        <v>841</v>
      </c>
      <c r="D1" s="3" t="s">
        <v>899</v>
      </c>
    </row>
    <row r="2" spans="1:4" ht="45">
      <c r="A2" s="4" t="s">
        <v>900</v>
      </c>
      <c r="B2" s="4" t="s">
        <v>901</v>
      </c>
      <c r="C2" s="4" t="s">
        <v>902</v>
      </c>
      <c r="D2" s="4" t="s">
        <v>903</v>
      </c>
    </row>
    <row r="3" spans="1:4" ht="45">
      <c r="A3" s="4" t="s">
        <v>904</v>
      </c>
      <c r="B3" s="4" t="s">
        <v>905</v>
      </c>
      <c r="C3" s="4" t="s">
        <v>902</v>
      </c>
      <c r="D3" s="4" t="s">
        <v>906</v>
      </c>
    </row>
    <row r="4" spans="1:4" ht="60">
      <c r="A4" s="4" t="s">
        <v>907</v>
      </c>
      <c r="B4" s="4" t="s">
        <v>908</v>
      </c>
      <c r="C4" s="4" t="s">
        <v>909</v>
      </c>
      <c r="D4" s="4" t="s">
        <v>910</v>
      </c>
    </row>
    <row r="6" spans="1:4">
      <c r="A6" s="3" t="s">
        <v>911</v>
      </c>
      <c r="B6" s="3" t="s">
        <v>912</v>
      </c>
      <c r="C6" s="3" t="s">
        <v>913</v>
      </c>
      <c r="D6" s="3" t="s">
        <v>914</v>
      </c>
    </row>
    <row r="7" spans="1:4" ht="45">
      <c r="A7" s="4" t="s">
        <v>915</v>
      </c>
      <c r="B7" s="4" t="s">
        <v>916</v>
      </c>
      <c r="C7" s="4" t="s">
        <v>917</v>
      </c>
      <c r="D7" s="4" t="s">
        <v>918</v>
      </c>
    </row>
    <row r="8" spans="1:4" ht="45">
      <c r="A8" s="3" t="s">
        <v>919</v>
      </c>
      <c r="B8" s="4" t="s">
        <v>920</v>
      </c>
      <c r="C8" s="4" t="s">
        <v>921</v>
      </c>
      <c r="D8" s="6" t="s">
        <v>922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E9527-12B7-4249-897F-4B9B4EC9770A}">
  <dimension ref="A1:G38"/>
  <sheetViews>
    <sheetView workbookViewId="0">
      <selection activeCell="E26" sqref="E26"/>
    </sheetView>
  </sheetViews>
  <sheetFormatPr defaultRowHeight="15"/>
  <cols>
    <col min="1" max="1" width="37.28515625" style="18" customWidth="1"/>
    <col min="2" max="2" width="2.42578125" style="15" customWidth="1"/>
    <col min="3" max="3" width="70.7109375" style="18" customWidth="1"/>
    <col min="4" max="4" width="2.42578125" style="15" customWidth="1"/>
    <col min="5" max="5" width="77.7109375" style="18" customWidth="1"/>
    <col min="6" max="6" width="25" style="20" customWidth="1"/>
    <col min="7" max="7" width="39.7109375" style="20" customWidth="1"/>
    <col min="8" max="16384" width="9.140625" style="18"/>
  </cols>
  <sheetData>
    <row r="1" spans="1:7" ht="28.5">
      <c r="A1" s="21" t="s">
        <v>923</v>
      </c>
      <c r="C1" s="16" t="s">
        <v>924</v>
      </c>
      <c r="E1" s="22" t="s">
        <v>925</v>
      </c>
    </row>
    <row r="2" spans="1:7" ht="21">
      <c r="A2" s="352" t="s">
        <v>926</v>
      </c>
      <c r="C2" s="26" t="s">
        <v>927</v>
      </c>
      <c r="E2" s="353" t="s">
        <v>928</v>
      </c>
      <c r="F2" s="23"/>
      <c r="G2" s="24"/>
    </row>
    <row r="3" spans="1:7">
      <c r="A3" s="352" t="s">
        <v>929</v>
      </c>
      <c r="C3" s="354" t="s">
        <v>930</v>
      </c>
      <c r="E3" s="355" t="s">
        <v>931</v>
      </c>
      <c r="G3" s="25"/>
    </row>
    <row r="4" spans="1:7" ht="30">
      <c r="A4" s="352" t="s">
        <v>932</v>
      </c>
      <c r="C4" s="354" t="s">
        <v>933</v>
      </c>
      <c r="E4" s="356" t="s">
        <v>934</v>
      </c>
      <c r="F4" s="357" t="s">
        <v>935</v>
      </c>
      <c r="G4" s="358" t="s">
        <v>936</v>
      </c>
    </row>
    <row r="5" spans="1:7" ht="30">
      <c r="A5" s="352" t="s">
        <v>937</v>
      </c>
      <c r="C5" s="27" t="s">
        <v>938</v>
      </c>
      <c r="E5" s="359" t="s">
        <v>939</v>
      </c>
      <c r="F5" s="6" t="s">
        <v>940</v>
      </c>
      <c r="G5" s="360" t="s">
        <v>941</v>
      </c>
    </row>
    <row r="6" spans="1:7">
      <c r="A6" s="352" t="s">
        <v>938</v>
      </c>
      <c r="C6" s="354" t="s">
        <v>942</v>
      </c>
      <c r="E6" s="359" t="s">
        <v>943</v>
      </c>
      <c r="F6" s="6" t="s">
        <v>940</v>
      </c>
      <c r="G6" s="360" t="s">
        <v>944</v>
      </c>
    </row>
    <row r="7" spans="1:7" ht="30">
      <c r="A7" s="352" t="s">
        <v>945</v>
      </c>
      <c r="C7" s="354" t="s">
        <v>946</v>
      </c>
      <c r="E7" s="359" t="s">
        <v>947</v>
      </c>
      <c r="F7" s="6" t="s">
        <v>948</v>
      </c>
      <c r="G7" s="360" t="s">
        <v>949</v>
      </c>
    </row>
    <row r="8" spans="1:7">
      <c r="C8" s="354" t="s">
        <v>950</v>
      </c>
      <c r="E8" s="359" t="s">
        <v>951</v>
      </c>
      <c r="F8" s="6" t="s">
        <v>952</v>
      </c>
      <c r="G8" s="360" t="s">
        <v>953</v>
      </c>
    </row>
    <row r="9" spans="1:7" ht="21">
      <c r="C9" s="354" t="s">
        <v>954</v>
      </c>
      <c r="E9" s="353" t="s">
        <v>955</v>
      </c>
      <c r="F9" s="23"/>
      <c r="G9" s="24"/>
    </row>
    <row r="10" spans="1:7">
      <c r="C10" s="354" t="s">
        <v>956</v>
      </c>
      <c r="E10" s="355" t="s">
        <v>957</v>
      </c>
      <c r="G10" s="25"/>
    </row>
    <row r="11" spans="1:7">
      <c r="C11" s="27" t="s">
        <v>938</v>
      </c>
      <c r="E11" s="356" t="s">
        <v>934</v>
      </c>
      <c r="F11" s="357" t="s">
        <v>935</v>
      </c>
      <c r="G11" s="358" t="s">
        <v>936</v>
      </c>
    </row>
    <row r="12" spans="1:7" ht="30">
      <c r="C12" s="354" t="s">
        <v>958</v>
      </c>
      <c r="E12" s="359" t="s">
        <v>939</v>
      </c>
      <c r="F12" s="6" t="s">
        <v>959</v>
      </c>
      <c r="G12" s="360" t="s">
        <v>960</v>
      </c>
    </row>
    <row r="13" spans="1:7">
      <c r="C13" s="27" t="s">
        <v>938</v>
      </c>
      <c r="E13" s="359" t="s">
        <v>943</v>
      </c>
      <c r="F13" s="6" t="s">
        <v>940</v>
      </c>
      <c r="G13" s="360" t="s">
        <v>961</v>
      </c>
    </row>
    <row r="14" spans="1:7">
      <c r="C14" s="354" t="s">
        <v>962</v>
      </c>
      <c r="E14" s="359" t="s">
        <v>947</v>
      </c>
      <c r="F14" s="6" t="s">
        <v>963</v>
      </c>
      <c r="G14" s="360" t="s">
        <v>964</v>
      </c>
    </row>
    <row r="15" spans="1:7" ht="15.75">
      <c r="C15" s="26" t="s">
        <v>965</v>
      </c>
      <c r="E15" s="359" t="s">
        <v>951</v>
      </c>
      <c r="F15" s="6" t="s">
        <v>963</v>
      </c>
      <c r="G15" s="360" t="s">
        <v>966</v>
      </c>
    </row>
    <row r="16" spans="1:7">
      <c r="C16" s="354" t="s">
        <v>967</v>
      </c>
      <c r="E16" s="361" t="s">
        <v>968</v>
      </c>
      <c r="G16" s="25"/>
    </row>
    <row r="17" spans="3:7" ht="21">
      <c r="C17" s="354" t="s">
        <v>969</v>
      </c>
      <c r="E17" s="353" t="s">
        <v>970</v>
      </c>
      <c r="F17" s="23"/>
      <c r="G17" s="24"/>
    </row>
    <row r="18" spans="3:7">
      <c r="C18" s="354" t="s">
        <v>971</v>
      </c>
      <c r="E18" s="356" t="s">
        <v>972</v>
      </c>
      <c r="F18" s="357" t="s">
        <v>973</v>
      </c>
      <c r="G18" s="358" t="s">
        <v>974</v>
      </c>
    </row>
    <row r="19" spans="3:7" ht="45">
      <c r="C19" s="27" t="s">
        <v>938</v>
      </c>
      <c r="E19" s="359" t="s">
        <v>975</v>
      </c>
      <c r="F19" s="6" t="s">
        <v>976</v>
      </c>
      <c r="G19" s="360" t="s">
        <v>977</v>
      </c>
    </row>
    <row r="20" spans="3:7" ht="45">
      <c r="C20" s="354" t="s">
        <v>978</v>
      </c>
      <c r="E20" s="362" t="s">
        <v>979</v>
      </c>
      <c r="F20" s="363" t="s">
        <v>980</v>
      </c>
      <c r="G20" s="364" t="s">
        <v>981</v>
      </c>
    </row>
    <row r="21" spans="3:7">
      <c r="C21" s="354" t="s">
        <v>982</v>
      </c>
      <c r="E21" s="365"/>
    </row>
    <row r="22" spans="3:7" ht="21">
      <c r="C22" s="354" t="s">
        <v>938</v>
      </c>
      <c r="E22" s="16"/>
    </row>
    <row r="23" spans="3:7">
      <c r="C23" s="354" t="s">
        <v>983</v>
      </c>
      <c r="E23" s="366"/>
      <c r="F23" s="357"/>
      <c r="G23" s="357"/>
    </row>
    <row r="24" spans="3:7" ht="15.75">
      <c r="C24" s="26" t="s">
        <v>984</v>
      </c>
      <c r="E24" s="367"/>
      <c r="F24" s="6"/>
      <c r="G24" s="6"/>
    </row>
    <row r="25" spans="3:7" ht="30">
      <c r="C25" s="354" t="s">
        <v>985</v>
      </c>
      <c r="E25" s="367"/>
      <c r="F25" s="6"/>
      <c r="G25" s="6"/>
    </row>
    <row r="26" spans="3:7">
      <c r="C26" s="27" t="s">
        <v>938</v>
      </c>
    </row>
    <row r="27" spans="3:7">
      <c r="C27" s="354" t="s">
        <v>986</v>
      </c>
    </row>
    <row r="28" spans="3:7">
      <c r="C28" s="354" t="s">
        <v>938</v>
      </c>
    </row>
    <row r="29" spans="3:7" ht="30">
      <c r="C29" s="354" t="s">
        <v>987</v>
      </c>
    </row>
    <row r="30" spans="3:7" ht="15.75">
      <c r="C30" s="28" t="s">
        <v>988</v>
      </c>
    </row>
    <row r="31" spans="3:7">
      <c r="C31" s="354" t="s">
        <v>989</v>
      </c>
    </row>
    <row r="32" spans="3:7">
      <c r="C32" s="354" t="s">
        <v>990</v>
      </c>
    </row>
    <row r="33" spans="3:3">
      <c r="C33" s="354" t="s">
        <v>991</v>
      </c>
    </row>
    <row r="34" spans="3:3">
      <c r="C34" s="27" t="s">
        <v>938</v>
      </c>
    </row>
    <row r="35" spans="3:3">
      <c r="C35" s="354" t="s">
        <v>992</v>
      </c>
    </row>
    <row r="36" spans="3:3">
      <c r="C36" s="354" t="s">
        <v>993</v>
      </c>
    </row>
    <row r="37" spans="3:3">
      <c r="C37" s="354" t="s">
        <v>938</v>
      </c>
    </row>
    <row r="38" spans="3:3">
      <c r="C38" s="368" t="s">
        <v>994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0FE9-6176-475C-ADD0-5C803D1431E9}">
  <dimension ref="A1:H25"/>
  <sheetViews>
    <sheetView workbookViewId="0">
      <selection activeCell="C5" sqref="C5"/>
    </sheetView>
  </sheetViews>
  <sheetFormatPr defaultRowHeight="15"/>
  <cols>
    <col min="1" max="1" width="20.28515625" style="18" customWidth="1"/>
    <col min="2" max="2" width="28.85546875" style="20" customWidth="1"/>
    <col min="3" max="3" width="32.42578125" style="20" customWidth="1"/>
    <col min="4" max="4" width="2.5703125" style="15" customWidth="1"/>
    <col min="5" max="5" width="69.85546875" style="20" customWidth="1"/>
    <col min="6" max="6" width="2.7109375" style="17" customWidth="1"/>
    <col min="7" max="7" width="89.42578125" style="20" customWidth="1"/>
    <col min="8" max="8" width="2.42578125" style="15" customWidth="1"/>
    <col min="9" max="9" width="62.5703125" style="18" customWidth="1"/>
    <col min="10" max="10" width="23.85546875" style="18" customWidth="1"/>
    <col min="11" max="11" width="28.5703125" style="18" customWidth="1"/>
    <col min="12" max="16384" width="9.140625" style="18"/>
  </cols>
  <sheetData>
    <row r="1" spans="1:7" ht="21">
      <c r="A1" s="369" t="s">
        <v>995</v>
      </c>
      <c r="B1" s="369" t="s">
        <v>996</v>
      </c>
      <c r="C1" s="369" t="s">
        <v>997</v>
      </c>
      <c r="E1" s="16" t="s">
        <v>998</v>
      </c>
      <c r="G1" s="16" t="s">
        <v>999</v>
      </c>
    </row>
    <row r="2" spans="1:7" ht="60">
      <c r="A2" s="370" t="s">
        <v>1000</v>
      </c>
      <c r="B2" s="370" t="s">
        <v>1001</v>
      </c>
      <c r="C2" s="370" t="s">
        <v>1002</v>
      </c>
      <c r="E2" s="371" t="s">
        <v>1003</v>
      </c>
      <c r="G2" s="371" t="s">
        <v>1004</v>
      </c>
    </row>
    <row r="3" spans="1:7" ht="30">
      <c r="A3" s="370" t="s">
        <v>1005</v>
      </c>
      <c r="B3" s="370" t="s">
        <v>1006</v>
      </c>
      <c r="C3" s="370" t="s">
        <v>1007</v>
      </c>
      <c r="E3" s="365" t="s">
        <v>1008</v>
      </c>
      <c r="G3" s="365" t="s">
        <v>1009</v>
      </c>
    </row>
    <row r="4" spans="1:7" ht="30">
      <c r="A4" s="370" t="s">
        <v>1010</v>
      </c>
      <c r="B4" s="370" t="s">
        <v>1011</v>
      </c>
      <c r="C4" s="370" t="s">
        <v>1012</v>
      </c>
      <c r="E4" s="365" t="s">
        <v>1013</v>
      </c>
      <c r="G4" s="365" t="s">
        <v>1014</v>
      </c>
    </row>
    <row r="5" spans="1:7" ht="30">
      <c r="A5" s="370" t="s">
        <v>1015</v>
      </c>
      <c r="B5" s="370" t="s">
        <v>1016</v>
      </c>
      <c r="C5" s="370" t="s">
        <v>1017</v>
      </c>
      <c r="E5" s="19" t="s">
        <v>938</v>
      </c>
      <c r="G5" s="365" t="s">
        <v>1018</v>
      </c>
    </row>
    <row r="6" spans="1:7" ht="30">
      <c r="A6" s="370" t="s">
        <v>1019</v>
      </c>
      <c r="B6" s="370" t="s">
        <v>1020</v>
      </c>
      <c r="C6" s="370" t="s">
        <v>1021</v>
      </c>
      <c r="E6" s="365" t="s">
        <v>1022</v>
      </c>
      <c r="G6" s="19" t="s">
        <v>938</v>
      </c>
    </row>
    <row r="7" spans="1:7">
      <c r="A7" s="370" t="s">
        <v>1023</v>
      </c>
      <c r="B7" s="370" t="s">
        <v>1024</v>
      </c>
      <c r="C7" s="370" t="s">
        <v>1025</v>
      </c>
      <c r="E7" s="365" t="s">
        <v>1026</v>
      </c>
      <c r="G7" s="365" t="s">
        <v>1027</v>
      </c>
    </row>
    <row r="8" spans="1:7" ht="30">
      <c r="A8" s="370" t="s">
        <v>1028</v>
      </c>
      <c r="B8" s="370" t="s">
        <v>1029</v>
      </c>
      <c r="C8" s="370" t="s">
        <v>1030</v>
      </c>
      <c r="E8" s="365" t="s">
        <v>938</v>
      </c>
      <c r="G8" s="365" t="s">
        <v>1031</v>
      </c>
    </row>
    <row r="9" spans="1:7" ht="30">
      <c r="B9" s="365" t="s">
        <v>1032</v>
      </c>
      <c r="C9" s="365" t="s">
        <v>1033</v>
      </c>
      <c r="E9" s="371" t="s">
        <v>1034</v>
      </c>
      <c r="G9" s="19" t="s">
        <v>938</v>
      </c>
    </row>
    <row r="10" spans="1:7">
      <c r="E10" s="365" t="s">
        <v>1035</v>
      </c>
      <c r="G10" s="365" t="s">
        <v>1036</v>
      </c>
    </row>
    <row r="11" spans="1:7">
      <c r="A11" s="393" t="s">
        <v>1037</v>
      </c>
      <c r="B11" s="393"/>
      <c r="C11" s="393"/>
      <c r="E11" s="365" t="s">
        <v>1038</v>
      </c>
      <c r="G11" s="365" t="s">
        <v>938</v>
      </c>
    </row>
    <row r="12" spans="1:7">
      <c r="A12" s="393"/>
      <c r="B12" s="393"/>
      <c r="C12" s="393"/>
      <c r="E12" s="365" t="s">
        <v>1039</v>
      </c>
      <c r="G12" s="371" t="s">
        <v>1034</v>
      </c>
    </row>
    <row r="13" spans="1:7" ht="30">
      <c r="A13" s="393"/>
      <c r="B13" s="393"/>
      <c r="C13" s="393"/>
      <c r="E13" s="365" t="s">
        <v>1040</v>
      </c>
      <c r="G13" s="365" t="s">
        <v>1041</v>
      </c>
    </row>
    <row r="14" spans="1:7">
      <c r="E14" s="365" t="s">
        <v>1042</v>
      </c>
      <c r="G14" s="365" t="s">
        <v>1043</v>
      </c>
    </row>
    <row r="15" spans="1:7">
      <c r="E15" s="371" t="s">
        <v>1044</v>
      </c>
      <c r="G15" s="365" t="s">
        <v>1045</v>
      </c>
    </row>
    <row r="16" spans="1:7" ht="45">
      <c r="E16" s="365" t="s">
        <v>1046</v>
      </c>
      <c r="G16" s="365" t="s">
        <v>1047</v>
      </c>
    </row>
    <row r="17" spans="5:7" ht="30">
      <c r="E17" s="365" t="s">
        <v>1048</v>
      </c>
      <c r="G17" s="371" t="s">
        <v>1044</v>
      </c>
    </row>
    <row r="18" spans="5:7" ht="30">
      <c r="E18" s="365" t="s">
        <v>1049</v>
      </c>
      <c r="G18" s="365" t="s">
        <v>1050</v>
      </c>
    </row>
    <row r="19" spans="5:7" ht="30">
      <c r="E19" s="371" t="s">
        <v>1051</v>
      </c>
      <c r="G19" s="365" t="s">
        <v>1052</v>
      </c>
    </row>
    <row r="20" spans="5:7">
      <c r="E20" s="365" t="s">
        <v>1053</v>
      </c>
      <c r="G20" s="365" t="s">
        <v>1054</v>
      </c>
    </row>
    <row r="21" spans="5:7">
      <c r="E21" s="365" t="s">
        <v>1055</v>
      </c>
      <c r="G21" s="365" t="s">
        <v>1056</v>
      </c>
    </row>
    <row r="22" spans="5:7">
      <c r="E22" s="365" t="s">
        <v>1057</v>
      </c>
      <c r="G22" s="371" t="s">
        <v>1058</v>
      </c>
    </row>
    <row r="23" spans="5:7">
      <c r="E23" s="365" t="s">
        <v>1059</v>
      </c>
      <c r="G23" s="365" t="s">
        <v>1060</v>
      </c>
    </row>
    <row r="24" spans="5:7" ht="30">
      <c r="E24" s="365" t="s">
        <v>1061</v>
      </c>
      <c r="G24" s="365" t="s">
        <v>1062</v>
      </c>
    </row>
    <row r="25" spans="5:7">
      <c r="G25" s="365" t="s">
        <v>1063</v>
      </c>
    </row>
  </sheetData>
  <mergeCells count="1">
    <mergeCell ref="A11:C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workbookViewId="0">
      <pane ySplit="1" topLeftCell="A2" activePane="bottomLeft" state="frozen"/>
      <selection pane="bottomLeft" activeCell="B11" sqref="B11"/>
    </sheetView>
  </sheetViews>
  <sheetFormatPr defaultRowHeight="12.75"/>
  <cols>
    <col min="1" max="1" width="3.28515625" style="2" customWidth="1"/>
    <col min="2" max="2" width="25" style="9" customWidth="1"/>
    <col min="3" max="3" width="13" style="2" customWidth="1"/>
    <col min="4" max="4" width="32.7109375" style="9" customWidth="1"/>
    <col min="5" max="5" width="10.140625" style="2" customWidth="1"/>
    <col min="6" max="6" width="25.140625" style="2" customWidth="1"/>
    <col min="7" max="7" width="9.28515625" style="2" customWidth="1"/>
    <col min="8" max="8" width="91.28515625" style="13" customWidth="1"/>
    <col min="9" max="16384" width="9.140625" style="2"/>
  </cols>
  <sheetData>
    <row r="1" spans="1:8">
      <c r="A1" s="7" t="s">
        <v>1064</v>
      </c>
      <c r="B1" s="7" t="s">
        <v>1065</v>
      </c>
      <c r="C1" s="7" t="s">
        <v>1066</v>
      </c>
      <c r="D1" s="7" t="s">
        <v>1067</v>
      </c>
      <c r="E1" s="10" t="s">
        <v>1068</v>
      </c>
      <c r="F1" s="7" t="s">
        <v>1069</v>
      </c>
      <c r="G1" s="7" t="s">
        <v>1070</v>
      </c>
      <c r="H1" s="11" t="s">
        <v>1071</v>
      </c>
    </row>
    <row r="2" spans="1:8" ht="25.5">
      <c r="A2" s="8" t="s">
        <v>1072</v>
      </c>
      <c r="B2" s="10" t="s">
        <v>1073</v>
      </c>
      <c r="C2" s="8" t="s">
        <v>1074</v>
      </c>
      <c r="D2" s="8" t="s">
        <v>1075</v>
      </c>
      <c r="E2" s="8" t="s">
        <v>902</v>
      </c>
      <c r="F2" s="8" t="s">
        <v>1076</v>
      </c>
      <c r="G2" s="8" t="s">
        <v>374</v>
      </c>
      <c r="H2" s="12" t="s">
        <v>1077</v>
      </c>
    </row>
    <row r="3" spans="1:8">
      <c r="A3" s="8" t="s">
        <v>1078</v>
      </c>
      <c r="B3" s="7" t="s">
        <v>1079</v>
      </c>
      <c r="C3" s="8" t="s">
        <v>947</v>
      </c>
      <c r="D3" s="8" t="s">
        <v>1080</v>
      </c>
      <c r="E3" s="8" t="s">
        <v>902</v>
      </c>
      <c r="F3" s="8" t="s">
        <v>1076</v>
      </c>
      <c r="G3" s="8" t="s">
        <v>374</v>
      </c>
      <c r="H3" s="12" t="s">
        <v>1081</v>
      </c>
    </row>
    <row r="4" spans="1:8" s="32" customFormat="1" ht="25.5">
      <c r="A4" s="29" t="s">
        <v>1082</v>
      </c>
      <c r="B4" s="34" t="s">
        <v>1083</v>
      </c>
      <c r="C4" s="29" t="s">
        <v>1084</v>
      </c>
      <c r="D4" s="29" t="s">
        <v>1085</v>
      </c>
      <c r="E4" s="29" t="s">
        <v>902</v>
      </c>
      <c r="F4" s="29" t="s">
        <v>1076</v>
      </c>
      <c r="G4" s="29" t="s">
        <v>374</v>
      </c>
      <c r="H4" s="31" t="s">
        <v>1086</v>
      </c>
    </row>
    <row r="5" spans="1:8" ht="25.5">
      <c r="A5" s="8" t="s">
        <v>1087</v>
      </c>
      <c r="B5" s="7" t="s">
        <v>1088</v>
      </c>
      <c r="C5" s="8" t="s">
        <v>1089</v>
      </c>
      <c r="D5" s="8" t="s">
        <v>1090</v>
      </c>
      <c r="E5" s="8" t="s">
        <v>902</v>
      </c>
      <c r="F5" s="8" t="s">
        <v>1076</v>
      </c>
      <c r="G5" s="8" t="s">
        <v>374</v>
      </c>
      <c r="H5" s="12" t="s">
        <v>1091</v>
      </c>
    </row>
    <row r="6" spans="1:8" ht="25.5">
      <c r="A6" s="8" t="s">
        <v>1092</v>
      </c>
      <c r="B6" s="7" t="s">
        <v>1093</v>
      </c>
      <c r="C6" s="8" t="s">
        <v>1094</v>
      </c>
      <c r="D6" s="8" t="s">
        <v>1095</v>
      </c>
      <c r="E6" s="8" t="s">
        <v>902</v>
      </c>
      <c r="F6" s="8" t="s">
        <v>1076</v>
      </c>
      <c r="G6" s="8" t="s">
        <v>374</v>
      </c>
      <c r="H6" s="14" t="s">
        <v>1096</v>
      </c>
    </row>
    <row r="7" spans="1:8" ht="38.25">
      <c r="A7" s="8" t="s">
        <v>1097</v>
      </c>
      <c r="B7" s="7" t="s">
        <v>1098</v>
      </c>
      <c r="C7" s="8" t="s">
        <v>947</v>
      </c>
      <c r="D7" s="8" t="s">
        <v>1099</v>
      </c>
      <c r="E7" s="8" t="s">
        <v>902</v>
      </c>
      <c r="F7" s="8" t="s">
        <v>1100</v>
      </c>
      <c r="G7" s="8" t="s">
        <v>374</v>
      </c>
      <c r="H7" s="12" t="s">
        <v>1101</v>
      </c>
    </row>
    <row r="8" spans="1:8" ht="38.25">
      <c r="A8" s="8" t="s">
        <v>1102</v>
      </c>
      <c r="B8" s="7" t="s">
        <v>1103</v>
      </c>
      <c r="C8" s="8" t="s">
        <v>1089</v>
      </c>
      <c r="D8" s="8" t="s">
        <v>1104</v>
      </c>
      <c r="E8" s="8" t="s">
        <v>902</v>
      </c>
      <c r="F8" s="8" t="s">
        <v>1105</v>
      </c>
      <c r="G8" s="8" t="s">
        <v>374</v>
      </c>
      <c r="H8" s="12" t="s">
        <v>1106</v>
      </c>
    </row>
    <row r="9" spans="1:8" ht="25.5">
      <c r="A9" s="8" t="s">
        <v>1107</v>
      </c>
      <c r="B9" s="7" t="s">
        <v>1108</v>
      </c>
      <c r="C9" s="8" t="s">
        <v>1109</v>
      </c>
      <c r="D9" s="8" t="s">
        <v>1110</v>
      </c>
      <c r="E9" s="8" t="s">
        <v>902</v>
      </c>
      <c r="F9" s="8" t="s">
        <v>1111</v>
      </c>
      <c r="G9" s="8" t="s">
        <v>374</v>
      </c>
      <c r="H9" s="12" t="s">
        <v>1112</v>
      </c>
    </row>
    <row r="10" spans="1:8" ht="25.5">
      <c r="A10" s="29" t="s">
        <v>1113</v>
      </c>
      <c r="B10" s="34" t="s">
        <v>1114</v>
      </c>
      <c r="C10" s="29" t="s">
        <v>1115</v>
      </c>
      <c r="D10" s="29" t="s">
        <v>1116</v>
      </c>
      <c r="E10" s="29" t="s">
        <v>902</v>
      </c>
      <c r="F10" s="29" t="s">
        <v>1117</v>
      </c>
      <c r="G10" s="29" t="s">
        <v>374</v>
      </c>
      <c r="H10" s="31" t="s">
        <v>1118</v>
      </c>
    </row>
    <row r="11" spans="1:8" s="32" customFormat="1" ht="25.5">
      <c r="A11" s="29" t="s">
        <v>1119</v>
      </c>
      <c r="B11" s="34" t="s">
        <v>1120</v>
      </c>
      <c r="C11" s="29" t="s">
        <v>1121</v>
      </c>
      <c r="D11" s="29" t="s">
        <v>1122</v>
      </c>
      <c r="E11" s="29" t="s">
        <v>902</v>
      </c>
      <c r="F11" s="29" t="s">
        <v>1117</v>
      </c>
      <c r="G11" s="29" t="s">
        <v>374</v>
      </c>
      <c r="H11" s="31" t="s">
        <v>1123</v>
      </c>
    </row>
    <row r="12" spans="1:8" ht="38.25">
      <c r="A12" s="8" t="s">
        <v>1124</v>
      </c>
      <c r="B12" s="7" t="s">
        <v>1125</v>
      </c>
      <c r="C12" s="8" t="s">
        <v>943</v>
      </c>
      <c r="D12" s="8" t="s">
        <v>1126</v>
      </c>
      <c r="E12" s="8" t="s">
        <v>902</v>
      </c>
      <c r="F12" s="8" t="s">
        <v>1127</v>
      </c>
      <c r="G12" s="8" t="s">
        <v>374</v>
      </c>
      <c r="H12" s="12" t="s">
        <v>1128</v>
      </c>
    </row>
    <row r="13" spans="1:8" s="32" customFormat="1" ht="48" customHeight="1">
      <c r="A13" s="29" t="s">
        <v>1129</v>
      </c>
      <c r="B13" s="34" t="s">
        <v>1130</v>
      </c>
      <c r="C13" s="29" t="s">
        <v>1131</v>
      </c>
      <c r="D13" s="29" t="s">
        <v>1132</v>
      </c>
      <c r="E13" s="29" t="s">
        <v>902</v>
      </c>
      <c r="F13" s="29" t="s">
        <v>1133</v>
      </c>
      <c r="G13" s="29" t="s">
        <v>374</v>
      </c>
      <c r="H13" s="31" t="s">
        <v>1134</v>
      </c>
    </row>
    <row r="14" spans="1:8" ht="30.75" customHeight="1">
      <c r="A14" s="8" t="s">
        <v>1135</v>
      </c>
      <c r="B14" s="7" t="s">
        <v>1136</v>
      </c>
      <c r="C14" s="8" t="s">
        <v>1137</v>
      </c>
      <c r="D14" s="8" t="s">
        <v>1138</v>
      </c>
      <c r="E14" s="8" t="s">
        <v>902</v>
      </c>
      <c r="F14" s="8" t="s">
        <v>1133</v>
      </c>
      <c r="G14" s="8" t="s">
        <v>374</v>
      </c>
      <c r="H14" s="12" t="s">
        <v>1139</v>
      </c>
    </row>
    <row r="15" spans="1:8" s="32" customFormat="1" ht="32.25" customHeight="1">
      <c r="A15" s="29" t="s">
        <v>1140</v>
      </c>
      <c r="B15" s="30" t="s">
        <v>1141</v>
      </c>
      <c r="C15" s="29" t="s">
        <v>1142</v>
      </c>
      <c r="D15" s="29" t="s">
        <v>1143</v>
      </c>
      <c r="E15" s="29" t="s">
        <v>860</v>
      </c>
      <c r="F15" s="29" t="s">
        <v>1144</v>
      </c>
      <c r="G15" s="29" t="s">
        <v>1145</v>
      </c>
      <c r="H15" s="31" t="s">
        <v>1146</v>
      </c>
    </row>
    <row r="16" spans="1:8" ht="38.25">
      <c r="A16" s="8" t="s">
        <v>1147</v>
      </c>
      <c r="B16" s="10" t="s">
        <v>1148</v>
      </c>
      <c r="C16" s="8" t="s">
        <v>939</v>
      </c>
      <c r="D16" s="8" t="s">
        <v>1149</v>
      </c>
      <c r="E16" s="8" t="s">
        <v>902</v>
      </c>
      <c r="F16" s="8" t="s">
        <v>1150</v>
      </c>
      <c r="G16" s="8" t="s">
        <v>1151</v>
      </c>
      <c r="H16" s="12" t="s">
        <v>1152</v>
      </c>
    </row>
    <row r="17" spans="1:8" s="32" customFormat="1" ht="38.25">
      <c r="A17" s="29" t="s">
        <v>1153</v>
      </c>
      <c r="B17" s="34" t="s">
        <v>1154</v>
      </c>
      <c r="C17" s="29" t="s">
        <v>939</v>
      </c>
      <c r="D17" s="29" t="s">
        <v>1155</v>
      </c>
      <c r="E17" s="29" t="s">
        <v>902</v>
      </c>
      <c r="F17" s="29" t="s">
        <v>1156</v>
      </c>
      <c r="G17" s="29" t="s">
        <v>1151</v>
      </c>
      <c r="H17" s="31" t="s">
        <v>1157</v>
      </c>
    </row>
    <row r="18" spans="1:8" s="32" customFormat="1" ht="38.25">
      <c r="A18" s="29" t="s">
        <v>1158</v>
      </c>
      <c r="B18" s="30" t="s">
        <v>1159</v>
      </c>
      <c r="C18" s="29" t="s">
        <v>939</v>
      </c>
      <c r="D18" s="29" t="s">
        <v>1160</v>
      </c>
      <c r="E18" s="29" t="s">
        <v>902</v>
      </c>
      <c r="F18" s="29" t="s">
        <v>1161</v>
      </c>
      <c r="G18" s="29" t="s">
        <v>1151</v>
      </c>
      <c r="H18" s="31" t="s">
        <v>1162</v>
      </c>
    </row>
    <row r="19" spans="1:8" ht="38.25">
      <c r="A19" s="8" t="s">
        <v>1163</v>
      </c>
      <c r="B19" s="10" t="s">
        <v>1164</v>
      </c>
      <c r="C19" s="8" t="s">
        <v>939</v>
      </c>
      <c r="D19" s="8" t="s">
        <v>1165</v>
      </c>
      <c r="E19" s="8" t="s">
        <v>902</v>
      </c>
      <c r="F19" s="8" t="s">
        <v>1166</v>
      </c>
      <c r="G19" s="8" t="s">
        <v>1151</v>
      </c>
      <c r="H19" s="12" t="s">
        <v>1167</v>
      </c>
    </row>
    <row r="20" spans="1:8" ht="38.25">
      <c r="A20" s="8" t="s">
        <v>1168</v>
      </c>
      <c r="B20" s="7" t="s">
        <v>1169</v>
      </c>
      <c r="C20" s="8" t="s">
        <v>1170</v>
      </c>
      <c r="D20" s="8" t="s">
        <v>1171</v>
      </c>
      <c r="E20" s="8" t="s">
        <v>1172</v>
      </c>
      <c r="F20" s="8" t="s">
        <v>1173</v>
      </c>
      <c r="G20" s="8" t="s">
        <v>1151</v>
      </c>
      <c r="H20" s="12" t="s">
        <v>1174</v>
      </c>
    </row>
    <row r="21" spans="1:8" s="32" customFormat="1" ht="38.25">
      <c r="A21" s="29" t="s">
        <v>1175</v>
      </c>
      <c r="B21" s="30" t="s">
        <v>1176</v>
      </c>
      <c r="C21" s="29" t="s">
        <v>1170</v>
      </c>
      <c r="D21" s="29" t="s">
        <v>1177</v>
      </c>
      <c r="E21" s="29" t="s">
        <v>1172</v>
      </c>
      <c r="F21" s="29" t="s">
        <v>1178</v>
      </c>
      <c r="G21" s="29" t="s">
        <v>1151</v>
      </c>
      <c r="H21" s="31" t="s">
        <v>1179</v>
      </c>
    </row>
    <row r="22" spans="1:8" s="32" customFormat="1" ht="38.25">
      <c r="A22" s="29" t="s">
        <v>1180</v>
      </c>
      <c r="B22" s="30" t="s">
        <v>1181</v>
      </c>
      <c r="C22" s="29" t="s">
        <v>939</v>
      </c>
      <c r="D22" s="29" t="s">
        <v>1182</v>
      </c>
      <c r="E22" s="29" t="s">
        <v>1172</v>
      </c>
      <c r="F22" s="29" t="s">
        <v>1183</v>
      </c>
      <c r="G22" s="29" t="s">
        <v>1151</v>
      </c>
      <c r="H22" s="33" t="s">
        <v>1184</v>
      </c>
    </row>
    <row r="23" spans="1:8" ht="38.25">
      <c r="A23" s="8" t="s">
        <v>1185</v>
      </c>
      <c r="B23" s="7" t="s">
        <v>1186</v>
      </c>
      <c r="C23" s="8" t="s">
        <v>939</v>
      </c>
      <c r="D23" s="8" t="s">
        <v>1187</v>
      </c>
      <c r="E23" s="8" t="s">
        <v>1172</v>
      </c>
      <c r="F23" s="8" t="s">
        <v>1183</v>
      </c>
      <c r="G23" s="8" t="s">
        <v>1151</v>
      </c>
      <c r="H23" s="12" t="s">
        <v>1188</v>
      </c>
    </row>
    <row r="24" spans="1:8" ht="25.5">
      <c r="A24" s="8" t="s">
        <v>1189</v>
      </c>
      <c r="B24" s="10" t="s">
        <v>1190</v>
      </c>
      <c r="C24" s="8" t="s">
        <v>1121</v>
      </c>
      <c r="D24" s="8" t="s">
        <v>1191</v>
      </c>
      <c r="E24" s="8" t="s">
        <v>902</v>
      </c>
      <c r="F24" s="8" t="s">
        <v>1192</v>
      </c>
      <c r="G24" s="8" t="s">
        <v>374</v>
      </c>
      <c r="H24" s="12" t="s">
        <v>1193</v>
      </c>
    </row>
    <row r="25" spans="1:8" ht="25.5">
      <c r="A25" s="8" t="s">
        <v>1194</v>
      </c>
      <c r="B25" s="10" t="s">
        <v>1195</v>
      </c>
      <c r="C25" s="8" t="s">
        <v>1121</v>
      </c>
      <c r="D25" s="8" t="s">
        <v>1196</v>
      </c>
      <c r="E25" s="8" t="s">
        <v>902</v>
      </c>
      <c r="F25" s="8" t="s">
        <v>1197</v>
      </c>
      <c r="G25" s="8" t="s">
        <v>374</v>
      </c>
      <c r="H25" s="12" t="s">
        <v>1198</v>
      </c>
    </row>
    <row r="26" spans="1:8" ht="25.5">
      <c r="A26" s="8" t="s">
        <v>1199</v>
      </c>
      <c r="B26" s="7" t="s">
        <v>1200</v>
      </c>
      <c r="C26" s="8" t="s">
        <v>943</v>
      </c>
      <c r="D26" s="8" t="s">
        <v>1201</v>
      </c>
      <c r="E26" s="8" t="s">
        <v>902</v>
      </c>
      <c r="F26" s="8" t="s">
        <v>1202</v>
      </c>
      <c r="G26" s="8" t="s">
        <v>374</v>
      </c>
      <c r="H26" s="12" t="s">
        <v>1203</v>
      </c>
    </row>
    <row r="27" spans="1:8" ht="38.25">
      <c r="A27" s="8" t="s">
        <v>1204</v>
      </c>
      <c r="B27" s="10" t="s">
        <v>1205</v>
      </c>
      <c r="C27" s="8" t="s">
        <v>1121</v>
      </c>
      <c r="D27" s="8" t="s">
        <v>1206</v>
      </c>
      <c r="E27" s="8" t="s">
        <v>902</v>
      </c>
      <c r="F27" s="8" t="s">
        <v>1207</v>
      </c>
      <c r="G27" s="8" t="s">
        <v>1151</v>
      </c>
      <c r="H27" s="12" t="s">
        <v>1208</v>
      </c>
    </row>
    <row r="28" spans="1:8" ht="25.5">
      <c r="A28" s="8" t="s">
        <v>1209</v>
      </c>
      <c r="B28" s="7" t="s">
        <v>1210</v>
      </c>
      <c r="C28" s="8" t="s">
        <v>1211</v>
      </c>
      <c r="D28" s="8" t="s">
        <v>1212</v>
      </c>
      <c r="E28" s="8" t="s">
        <v>902</v>
      </c>
      <c r="F28" s="8" t="s">
        <v>1213</v>
      </c>
      <c r="G28" s="8" t="s">
        <v>374</v>
      </c>
      <c r="H28" s="12" t="s">
        <v>1214</v>
      </c>
    </row>
    <row r="29" spans="1:8" ht="38.25">
      <c r="A29" s="8" t="s">
        <v>1215</v>
      </c>
      <c r="B29" s="7" t="s">
        <v>1216</v>
      </c>
      <c r="C29" s="8" t="s">
        <v>1217</v>
      </c>
      <c r="D29" s="8" t="s">
        <v>1218</v>
      </c>
      <c r="E29" s="8" t="s">
        <v>902</v>
      </c>
      <c r="F29" s="8" t="s">
        <v>1219</v>
      </c>
      <c r="G29" s="8" t="s">
        <v>1151</v>
      </c>
      <c r="H29" s="12" t="s">
        <v>1220</v>
      </c>
    </row>
    <row r="30" spans="1:8" ht="51">
      <c r="A30" s="8" t="s">
        <v>1221</v>
      </c>
      <c r="B30" s="7" t="s">
        <v>1222</v>
      </c>
      <c r="C30" s="8" t="s">
        <v>939</v>
      </c>
      <c r="D30" s="8" t="s">
        <v>1223</v>
      </c>
      <c r="E30" s="8" t="s">
        <v>1172</v>
      </c>
      <c r="F30" s="8" t="s">
        <v>1224</v>
      </c>
      <c r="G30" s="8" t="s">
        <v>1145</v>
      </c>
      <c r="H30" s="12" t="s">
        <v>1225</v>
      </c>
    </row>
    <row r="31" spans="1:8" ht="38.25">
      <c r="A31" s="8" t="s">
        <v>1226</v>
      </c>
      <c r="B31" s="7" t="s">
        <v>1227</v>
      </c>
      <c r="C31" s="8" t="s">
        <v>1228</v>
      </c>
      <c r="D31" s="8" t="s">
        <v>1229</v>
      </c>
      <c r="E31" s="8" t="s">
        <v>1172</v>
      </c>
      <c r="F31" s="8" t="s">
        <v>1230</v>
      </c>
      <c r="G31" s="8" t="s">
        <v>1145</v>
      </c>
      <c r="H31" s="12" t="s">
        <v>1231</v>
      </c>
    </row>
    <row r="32" spans="1:8" ht="51">
      <c r="A32" s="8" t="s">
        <v>1232</v>
      </c>
      <c r="B32" s="7" t="s">
        <v>1233</v>
      </c>
      <c r="C32" s="8" t="s">
        <v>1234</v>
      </c>
      <c r="D32" s="8" t="s">
        <v>1235</v>
      </c>
      <c r="E32" s="8" t="s">
        <v>860</v>
      </c>
      <c r="F32" s="8" t="s">
        <v>1236</v>
      </c>
      <c r="G32" s="8" t="s">
        <v>1145</v>
      </c>
      <c r="H32" s="12" t="s">
        <v>1237</v>
      </c>
    </row>
    <row r="33" spans="1:8" ht="38.25">
      <c r="A33" s="8" t="s">
        <v>1238</v>
      </c>
      <c r="B33" s="7" t="s">
        <v>1239</v>
      </c>
      <c r="C33" s="8" t="s">
        <v>1240</v>
      </c>
      <c r="D33" s="8" t="s">
        <v>1241</v>
      </c>
      <c r="E33" s="8" t="s">
        <v>860</v>
      </c>
      <c r="F33" s="8" t="s">
        <v>1242</v>
      </c>
      <c r="G33" s="8" t="s">
        <v>1145</v>
      </c>
      <c r="H33" s="12" t="s">
        <v>1243</v>
      </c>
    </row>
    <row r="34" spans="1:8" ht="25.5">
      <c r="A34" s="8" t="s">
        <v>1244</v>
      </c>
      <c r="B34" s="7" t="s">
        <v>1245</v>
      </c>
      <c r="C34" s="8" t="s">
        <v>1211</v>
      </c>
      <c r="D34" s="8" t="s">
        <v>1246</v>
      </c>
      <c r="E34" s="8" t="s">
        <v>1172</v>
      </c>
      <c r="F34" s="8" t="s">
        <v>1247</v>
      </c>
      <c r="G34" s="8" t="s">
        <v>1145</v>
      </c>
      <c r="H34" s="12" t="s">
        <v>1248</v>
      </c>
    </row>
    <row r="35" spans="1:8" ht="25.5">
      <c r="A35" s="8" t="s">
        <v>1249</v>
      </c>
      <c r="B35" s="10" t="s">
        <v>1250</v>
      </c>
      <c r="C35" s="8" t="s">
        <v>1211</v>
      </c>
      <c r="D35" s="8" t="s">
        <v>1251</v>
      </c>
      <c r="E35" s="8" t="s">
        <v>1172</v>
      </c>
      <c r="F35" s="8" t="s">
        <v>1252</v>
      </c>
      <c r="G35" s="8" t="s">
        <v>1145</v>
      </c>
      <c r="H35" s="12" t="s">
        <v>1253</v>
      </c>
    </row>
    <row r="36" spans="1:8" ht="25.5">
      <c r="A36" s="8" t="s">
        <v>1254</v>
      </c>
      <c r="B36" s="7" t="s">
        <v>1255</v>
      </c>
      <c r="C36" s="8" t="s">
        <v>1089</v>
      </c>
      <c r="D36" s="8" t="s">
        <v>1256</v>
      </c>
      <c r="E36" s="8" t="s">
        <v>902</v>
      </c>
      <c r="F36" s="8" t="s">
        <v>1257</v>
      </c>
      <c r="G36" s="8" t="s">
        <v>1145</v>
      </c>
      <c r="H36" s="12" t="s">
        <v>1258</v>
      </c>
    </row>
    <row r="37" spans="1:8" ht="38.25">
      <c r="A37" s="8" t="s">
        <v>1259</v>
      </c>
      <c r="B37" s="7" t="s">
        <v>1260</v>
      </c>
      <c r="C37" s="8" t="s">
        <v>1089</v>
      </c>
      <c r="D37" s="8" t="s">
        <v>1261</v>
      </c>
      <c r="E37" s="8" t="s">
        <v>860</v>
      </c>
      <c r="F37" s="8" t="s">
        <v>1262</v>
      </c>
      <c r="G37" s="8" t="s">
        <v>1145</v>
      </c>
      <c r="H37" s="12" t="s">
        <v>1263</v>
      </c>
    </row>
    <row r="38" spans="1:8" ht="38.25">
      <c r="A38" s="8" t="s">
        <v>1264</v>
      </c>
      <c r="B38" s="7" t="s">
        <v>1265</v>
      </c>
      <c r="C38" s="8" t="s">
        <v>1266</v>
      </c>
      <c r="D38" s="8" t="s">
        <v>1267</v>
      </c>
      <c r="E38" s="8" t="s">
        <v>902</v>
      </c>
      <c r="F38" s="8" t="s">
        <v>1268</v>
      </c>
      <c r="G38" s="8" t="s">
        <v>374</v>
      </c>
      <c r="H38" s="12" t="s">
        <v>1269</v>
      </c>
    </row>
    <row r="39" spans="1:8" ht="25.5">
      <c r="A39" s="8" t="s">
        <v>1270</v>
      </c>
      <c r="B39" s="7" t="s">
        <v>1271</v>
      </c>
      <c r="C39" s="8" t="s">
        <v>1089</v>
      </c>
      <c r="D39" s="8" t="s">
        <v>1272</v>
      </c>
      <c r="E39" s="8" t="s">
        <v>902</v>
      </c>
      <c r="F39" s="8" t="s">
        <v>1268</v>
      </c>
      <c r="G39" s="8" t="s">
        <v>374</v>
      </c>
      <c r="H39" s="12" t="s">
        <v>1273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976F3675C0694DA844E64FFEC8294E" ma:contentTypeVersion="21" ma:contentTypeDescription="Create a new document." ma:contentTypeScope="" ma:versionID="c5cf54d00ee9cc208b8fc289047658e1">
  <xsd:schema xmlns:xsd="http://www.w3.org/2001/XMLSchema" xmlns:xs="http://www.w3.org/2001/XMLSchema" xmlns:p="http://schemas.microsoft.com/office/2006/metadata/properties" xmlns:ns1="http://schemas.microsoft.com/sharepoint/v3" xmlns:ns2="ae16aeb4-4d4a-40a8-9e6f-6c5df38870b4" xmlns:ns3="93fb3a3a-65dc-4f8a-9b36-be7d6d476709" targetNamespace="http://schemas.microsoft.com/office/2006/metadata/properties" ma:root="true" ma:fieldsID="4c419c583ab4090655701fb57d342c49" ns1:_="" ns2:_="" ns3:_="">
    <xsd:import namespace="http://schemas.microsoft.com/sharepoint/v3"/>
    <xsd:import namespace="ae16aeb4-4d4a-40a8-9e6f-6c5df38870b4"/>
    <xsd:import namespace="93fb3a3a-65dc-4f8a-9b36-be7d6d476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16aeb4-4d4a-40a8-9e6f-6c5df38870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9547413-8d86-4a09-83fc-ff410a9b30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fb3a3a-65dc-4f8a-9b36-be7d6d47670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7cfd7d3-576c-41fb-ad0c-8c4f545b6de7}" ma:internalName="TaxCatchAll" ma:showField="CatchAllData" ma:web="93fb3a3a-65dc-4f8a-9b36-be7d6d476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3fb3a3a-65dc-4f8a-9b36-be7d6d476709" xsi:nil="true"/>
    <lcf76f155ced4ddcb4097134ff3c332f xmlns="ae16aeb4-4d4a-40a8-9e6f-6c5df38870b4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B41A78-32E1-489D-AB82-6E8621433879}"/>
</file>

<file path=customXml/itemProps2.xml><?xml version="1.0" encoding="utf-8"?>
<ds:datastoreItem xmlns:ds="http://schemas.openxmlformats.org/officeDocument/2006/customXml" ds:itemID="{F7D28216-B488-4DB1-B779-5F7802F6FE3B}"/>
</file>

<file path=customXml/itemProps3.xml><?xml version="1.0" encoding="utf-8"?>
<ds:datastoreItem xmlns:ds="http://schemas.openxmlformats.org/officeDocument/2006/customXml" ds:itemID="{7FC80171-A95A-48BA-B09B-1E181CD928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2026-02-25T15:19:08Z</dcterms:created>
  <dcterms:modified xsi:type="dcterms:W3CDTF">2026-03-27T19:58:49Z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0x010100C2976F3675C0694DA844E64FFEC8294E</vt:lpwstr>
  </property>
  <property fmtid="{D5CDD505-2E9C-101B-9397-08002B2CF9AE}" pid="3" name="MediaServiceImageTags">
    <vt:lpwstr/>
  </property>
</Properties>
</file>